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showInkAnnotation="0" codeName="ThisWorkbook" autoCompressPictures="0"/>
  <mc:AlternateContent xmlns:mc="http://schemas.openxmlformats.org/markup-compatibility/2006">
    <mc:Choice Requires="x15">
      <x15ac:absPath xmlns:x15ac="http://schemas.microsoft.com/office/spreadsheetml/2010/11/ac" url="\\psf\Home\Desktop\Main\Models\"/>
    </mc:Choice>
  </mc:AlternateContent>
  <xr:revisionPtr revIDLastSave="0" documentId="13_ncr:1_{CFD35CF9-022A-46AD-8097-D724B38E8242}" xr6:coauthVersionLast="40" xr6:coauthVersionMax="40" xr10:uidLastSave="{00000000-0000-0000-0000-000000000000}"/>
  <workbookProtection workbookAlgorithmName="SHA-512" workbookHashValue="sxec6sCDRgDVFfOA01YcMPSJhjFdkyxsyTsJDxlgB4yrzXkmMVB2eC9CgH9S+c6+NwADcdoZCkHvDHHIOziKzw==" workbookSaltValue="tyWmEtsj+k0GmWk+QR1iJQ==" workbookSpinCount="100000" lockStructure="1"/>
  <bookViews>
    <workbookView xWindow="-98" yWindow="-98" windowWidth="25396" windowHeight="14536" tabRatio="723" xr2:uid="{00000000-000D-0000-FFFF-FFFF00000000}"/>
  </bookViews>
  <sheets>
    <sheet name="Reprt_1" sheetId="28" r:id="rId1"/>
    <sheet name="Reprt_2" sheetId="41" state="hidden" r:id="rId2"/>
    <sheet name="ASSUMPTION" sheetId="20" state="hidden" r:id="rId3"/>
    <sheet name="Path_ID" sheetId="2" state="hidden" r:id="rId4"/>
    <sheet name="INDEXFILES" sheetId="1" state="hidden" r:id="rId5"/>
    <sheet name="T_PCH" sheetId="17" state="hidden" r:id="rId6"/>
    <sheet name="T_NAV" sheetId="18" state="hidden" r:id="rId7"/>
    <sheet name="CALCS" sheetId="21" state="hidden" r:id="rId8"/>
    <sheet name="C_DownM" sheetId="24" state="hidden" r:id="rId9"/>
    <sheet name="C_UpM" sheetId="25" state="hidden" r:id="rId10"/>
    <sheet name="C_Returns" sheetId="26" state="hidden" r:id="rId11"/>
    <sheet name="CALCS_Sample" sheetId="19" state="hidden" r:id="rId12"/>
    <sheet name="SH_PORTFOLIOIndex" sheetId="33" state="hidden" r:id="rId13"/>
    <sheet name="SH_QUALITATIVE" sheetId="34" state="hidden" r:id="rId14"/>
    <sheet name="SH_FundCompositions" sheetId="35" state="hidden" r:id="rId15"/>
    <sheet name="SH_StrategyAllocs" sheetId="40" state="hidden" r:id="rId16"/>
    <sheet name="Nav" sheetId="105" state="hidden" r:id="rId17"/>
  </sheets>
  <functionGroups builtInGroupCount="19"/>
  <externalReferences>
    <externalReference r:id="rId18"/>
    <externalReference r:id="rId19"/>
  </externalReferences>
  <definedNames>
    <definedName name="Date" localSheetId="2">(OFFSET([1]P_NAV!XFA1048569,0,0,[1]Analysis!XES14,1))</definedName>
    <definedName name="Date" localSheetId="11">(OFFSET(#REF!,0,0,[2]Analysis!#REF!,1))</definedName>
    <definedName name="Date">(OFFSET([1]P_NAV!XFA1048569,0,0,[1]Analysis!XES14,1))</definedName>
    <definedName name="FileNames">Path_ID!$A$6:$A$15</definedName>
    <definedName name="FLA" localSheetId="2">([1]P_NAV!XFB1048565:INDIRECT("k"&amp;[1]Analysis!XES10+4))</definedName>
    <definedName name="FLA" localSheetId="11">(#REF!:INDIRECT("k"&amp;[2]Analysis!#REF!+4))</definedName>
    <definedName name="FLA">([1]P_NAV!XFB1048565:INDIRECT("k"&amp;[1]Analysis!XES10+4))</definedName>
    <definedName name="_xlnm.Print_Area" localSheetId="11">CALCS_Sample!#REF!</definedName>
    <definedName name="_xlnm.Print_Area" localSheetId="0">Reprt_1!$A$1:$H$53</definedName>
    <definedName name="strPathIdFilesList">Path_ID!$A$10:$A$15</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E2" i="21" l="1"/>
  <c r="S2" i="21"/>
  <c r="AK7" i="21"/>
  <c r="AK6" i="21"/>
  <c r="AK5" i="21"/>
  <c r="AK8" i="21"/>
  <c r="AM8" i="21" s="1"/>
  <c r="AK9" i="21"/>
  <c r="AK10" i="21"/>
  <c r="AK11" i="21"/>
  <c r="AK12" i="21"/>
  <c r="AK13" i="21"/>
  <c r="AK14" i="21"/>
  <c r="AK15" i="21"/>
  <c r="AK16" i="21"/>
  <c r="AK17" i="21"/>
  <c r="AK18" i="21"/>
  <c r="AK19" i="21"/>
  <c r="AK20" i="21"/>
  <c r="AK21" i="21"/>
  <c r="AK22" i="21"/>
  <c r="AK23" i="21"/>
  <c r="AK24" i="21"/>
  <c r="AK25" i="21"/>
  <c r="AK26" i="21"/>
  <c r="AK27" i="21"/>
  <c r="AK28" i="21"/>
  <c r="AK29" i="21"/>
  <c r="AK30" i="21"/>
  <c r="AK31" i="21"/>
  <c r="AK32" i="21"/>
  <c r="AK33" i="21"/>
  <c r="AK34" i="21"/>
  <c r="AK35" i="21"/>
  <c r="AK36" i="21"/>
  <c r="AK37" i="21"/>
  <c r="AK38" i="21"/>
  <c r="AK39" i="21"/>
  <c r="AK40" i="21"/>
  <c r="AK41" i="21"/>
  <c r="AK42" i="21"/>
  <c r="AK43" i="21"/>
  <c r="AK44" i="21"/>
  <c r="AK45" i="21"/>
  <c r="AK46" i="21"/>
  <c r="AK47" i="21"/>
  <c r="AK48" i="21"/>
  <c r="AK49" i="21"/>
  <c r="AK50" i="21"/>
  <c r="AK51" i="21"/>
  <c r="AK52" i="21"/>
  <c r="AK53" i="21"/>
  <c r="AK54" i="21"/>
  <c r="AF7" i="21"/>
  <c r="AF6" i="21"/>
  <c r="AF5" i="21"/>
  <c r="AF8" i="21"/>
  <c r="AH8" i="21" s="1"/>
  <c r="AF9" i="21"/>
  <c r="AF10" i="21"/>
  <c r="AF11" i="21"/>
  <c r="AF12" i="21"/>
  <c r="AF13" i="21"/>
  <c r="AF14" i="21"/>
  <c r="AF15" i="21"/>
  <c r="AF16" i="21"/>
  <c r="AF17" i="21"/>
  <c r="AF18" i="21"/>
  <c r="AF19" i="21"/>
  <c r="AF20" i="21"/>
  <c r="AF21" i="21"/>
  <c r="AF22" i="21"/>
  <c r="AF23" i="21"/>
  <c r="AF24" i="21"/>
  <c r="AF25" i="21"/>
  <c r="AF26" i="21"/>
  <c r="AF27" i="21"/>
  <c r="AF28" i="21"/>
  <c r="AF29" i="21"/>
  <c r="AF30" i="21"/>
  <c r="AF31" i="21"/>
  <c r="AF32" i="21"/>
  <c r="AF33" i="21"/>
  <c r="AF34" i="21"/>
  <c r="AF35" i="21"/>
  <c r="AF36" i="21"/>
  <c r="AF37" i="21"/>
  <c r="AF38" i="21"/>
  <c r="AF39" i="21"/>
  <c r="AF40" i="21"/>
  <c r="AF41" i="21"/>
  <c r="AF42" i="21"/>
  <c r="AF43" i="21"/>
  <c r="AF44" i="21"/>
  <c r="AF45" i="21"/>
  <c r="AF46" i="21"/>
  <c r="AF47" i="21"/>
  <c r="AF48" i="21"/>
  <c r="AF49" i="21"/>
  <c r="AF50" i="21"/>
  <c r="AF51" i="21"/>
  <c r="AF52" i="21"/>
  <c r="AF53" i="21"/>
  <c r="AF54" i="21"/>
  <c r="AE18" i="21"/>
  <c r="AE19" i="21"/>
  <c r="AE20" i="21"/>
  <c r="AE21" i="21"/>
  <c r="AE22" i="21"/>
  <c r="AE23" i="21"/>
  <c r="AE24" i="21"/>
  <c r="AE25" i="21"/>
  <c r="AE26" i="21"/>
  <c r="AE27" i="21"/>
  <c r="AE28" i="21"/>
  <c r="AE29" i="21"/>
  <c r="AE30" i="21"/>
  <c r="AE31" i="21"/>
  <c r="AE32" i="21"/>
  <c r="AE33" i="21"/>
  <c r="AE34" i="21"/>
  <c r="AE35" i="21"/>
  <c r="AE36" i="21"/>
  <c r="AE37" i="21"/>
  <c r="AE38" i="21"/>
  <c r="AE39" i="21"/>
  <c r="AE40" i="21"/>
  <c r="AE41" i="21"/>
  <c r="AE42" i="21"/>
  <c r="AE43" i="21"/>
  <c r="AE44" i="21"/>
  <c r="AE45" i="21"/>
  <c r="AE46" i="21"/>
  <c r="AE47" i="21"/>
  <c r="AE48" i="21"/>
  <c r="AE49" i="21"/>
  <c r="AE50" i="21"/>
  <c r="AE51" i="21"/>
  <c r="AE52" i="21"/>
  <c r="AE53" i="21"/>
  <c r="AE54" i="21"/>
  <c r="AE17" i="21"/>
  <c r="AD18" i="21"/>
  <c r="AD19" i="21"/>
  <c r="AD20" i="21"/>
  <c r="AD21" i="21"/>
  <c r="AD22" i="21"/>
  <c r="AD23" i="21"/>
  <c r="AD24" i="21"/>
  <c r="AD25" i="21"/>
  <c r="AD26" i="21"/>
  <c r="AD27" i="21"/>
  <c r="AD28" i="21"/>
  <c r="AD29" i="21"/>
  <c r="AD30" i="21"/>
  <c r="AD31" i="21"/>
  <c r="AD32" i="21"/>
  <c r="AD33" i="21"/>
  <c r="AD34" i="21"/>
  <c r="AD35" i="21"/>
  <c r="AD36" i="21"/>
  <c r="AD37" i="21"/>
  <c r="AD38" i="21"/>
  <c r="AD39" i="21"/>
  <c r="AD40" i="21"/>
  <c r="AD41" i="21"/>
  <c r="AD42" i="21"/>
  <c r="AD43" i="21"/>
  <c r="AD44" i="21"/>
  <c r="AD45" i="21"/>
  <c r="AD46" i="21"/>
  <c r="AD47" i="21"/>
  <c r="AD48" i="21"/>
  <c r="AD49" i="21"/>
  <c r="AD50" i="21"/>
  <c r="AD51" i="21"/>
  <c r="AD52" i="21"/>
  <c r="AD53" i="21"/>
  <c r="AD54" i="21"/>
  <c r="AD17" i="21"/>
  <c r="T22" i="21"/>
  <c r="T30" i="21"/>
  <c r="T38" i="21"/>
  <c r="T46" i="21"/>
  <c r="T54" i="21"/>
  <c r="S18" i="21"/>
  <c r="T18" i="21" s="1"/>
  <c r="S19" i="21"/>
  <c r="S20" i="21"/>
  <c r="S21" i="21"/>
  <c r="S22" i="21"/>
  <c r="S23" i="21"/>
  <c r="S24" i="21"/>
  <c r="S25" i="21"/>
  <c r="S26" i="21"/>
  <c r="T26" i="21" s="1"/>
  <c r="S27" i="21"/>
  <c r="S28" i="21"/>
  <c r="S29" i="21"/>
  <c r="S30" i="21"/>
  <c r="S31" i="21"/>
  <c r="S32" i="21"/>
  <c r="S33" i="21"/>
  <c r="S34" i="21"/>
  <c r="T34" i="21" s="1"/>
  <c r="S35" i="21"/>
  <c r="S36" i="21"/>
  <c r="S37" i="21"/>
  <c r="S38" i="21"/>
  <c r="S39" i="21"/>
  <c r="S40" i="21"/>
  <c r="S41" i="21"/>
  <c r="S42" i="21"/>
  <c r="T42" i="21" s="1"/>
  <c r="S43" i="21"/>
  <c r="S44" i="21"/>
  <c r="S45" i="21"/>
  <c r="S46" i="21"/>
  <c r="S47" i="21"/>
  <c r="S48" i="21"/>
  <c r="S49" i="21"/>
  <c r="S50" i="21"/>
  <c r="T50" i="21" s="1"/>
  <c r="S51" i="21"/>
  <c r="S52" i="21"/>
  <c r="S53" i="21"/>
  <c r="S54" i="21"/>
  <c r="S17" i="21"/>
  <c r="R18" i="21"/>
  <c r="R19" i="21"/>
  <c r="R20" i="21"/>
  <c r="R21" i="21"/>
  <c r="R22" i="21"/>
  <c r="R23" i="21"/>
  <c r="R24" i="21"/>
  <c r="R25" i="21"/>
  <c r="R26" i="21"/>
  <c r="R27" i="21"/>
  <c r="R28" i="21"/>
  <c r="R29" i="21"/>
  <c r="R30" i="21"/>
  <c r="R31" i="21"/>
  <c r="R32" i="21"/>
  <c r="R33" i="21"/>
  <c r="R34" i="21"/>
  <c r="R35" i="21"/>
  <c r="R36" i="21"/>
  <c r="R37" i="21"/>
  <c r="R38" i="21"/>
  <c r="R39" i="21"/>
  <c r="R40" i="21"/>
  <c r="R41" i="21"/>
  <c r="R42" i="21"/>
  <c r="R43" i="21"/>
  <c r="R44" i="21"/>
  <c r="R45" i="21"/>
  <c r="R46" i="21"/>
  <c r="R47" i="21"/>
  <c r="R48" i="21"/>
  <c r="R49" i="21"/>
  <c r="R50" i="21"/>
  <c r="R51" i="21"/>
  <c r="R52" i="21"/>
  <c r="R53" i="21"/>
  <c r="R54" i="21"/>
  <c r="R17"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6" i="21"/>
  <c r="O7" i="21"/>
  <c r="O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6" i="21"/>
  <c r="AP6" i="21"/>
  <c r="AP7" i="21"/>
  <c r="AP8" i="21"/>
  <c r="AP9" i="21"/>
  <c r="AP10" i="21"/>
  <c r="AP11" i="21"/>
  <c r="AP12"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36" i="21"/>
  <c r="AP37" i="21"/>
  <c r="AP38" i="21"/>
  <c r="AP39" i="21"/>
  <c r="AP40" i="21"/>
  <c r="AP41" i="21"/>
  <c r="AP42" i="21"/>
  <c r="AP43" i="21"/>
  <c r="AP44" i="21"/>
  <c r="AP45" i="21"/>
  <c r="AP46" i="21"/>
  <c r="AP47" i="21"/>
  <c r="AP48" i="21"/>
  <c r="AP49" i="21"/>
  <c r="AP50" i="21"/>
  <c r="AP51" i="21"/>
  <c r="AP52" i="21"/>
  <c r="AP53" i="21"/>
  <c r="AP54" i="21"/>
  <c r="AP5" i="21"/>
  <c r="AP2" i="21" s="1"/>
  <c r="Q5" i="21"/>
  <c r="N6" i="21"/>
  <c r="N7" i="21"/>
  <c r="N8" i="21"/>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 i="21"/>
  <c r="M6" i="21"/>
  <c r="Q6" i="21" s="1"/>
  <c r="Q7" i="21" s="1"/>
  <c r="M7" i="21"/>
  <c r="M8" i="2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 i="21"/>
  <c r="BJ6" i="18"/>
  <c r="BJ6" i="17" s="1"/>
  <c r="BJ5" i="18"/>
  <c r="BJ4" i="18"/>
  <c r="BJ4" i="17" s="1"/>
  <c r="BJ3" i="18"/>
  <c r="BJ2" i="18"/>
  <c r="AT6" i="18"/>
  <c r="AT5" i="18"/>
  <c r="AT5" i="17" s="1"/>
  <c r="AT4" i="18"/>
  <c r="AT3" i="18"/>
  <c r="AT3" i="17" s="1"/>
  <c r="AT2" i="18"/>
  <c r="AD6" i="18"/>
  <c r="AD6" i="17" s="1"/>
  <c r="AD5" i="18"/>
  <c r="AD4" i="18"/>
  <c r="AD4" i="17" s="1"/>
  <c r="AD3" i="18"/>
  <c r="AD2" i="18"/>
  <c r="N6" i="18"/>
  <c r="N5" i="18"/>
  <c r="N5" i="17" s="1"/>
  <c r="N4" i="18"/>
  <c r="N3" i="18"/>
  <c r="N3" i="17" s="1"/>
  <c r="N2" i="18"/>
  <c r="BJ3" i="17"/>
  <c r="BJ5" i="17"/>
  <c r="BJ2" i="17"/>
  <c r="AT4" i="17"/>
  <c r="AT6" i="17"/>
  <c r="AT2" i="17"/>
  <c r="AD3" i="17"/>
  <c r="AD5" i="17"/>
  <c r="AD2" i="17"/>
  <c r="N4" i="17"/>
  <c r="N6" i="17"/>
  <c r="N2" i="17"/>
  <c r="C2" i="41"/>
  <c r="H1" i="28" s="1"/>
  <c r="B2" i="41"/>
  <c r="H2" i="28" s="1"/>
  <c r="B3" i="41"/>
  <c r="C3" i="41"/>
  <c r="B6" i="41"/>
  <c r="C6" i="41"/>
  <c r="B7" i="41"/>
  <c r="C32" i="41" s="1"/>
  <c r="C7" i="41"/>
  <c r="B8" i="41"/>
  <c r="C8" i="41"/>
  <c r="B9" i="41"/>
  <c r="C31" i="41" s="1"/>
  <c r="C9" i="41"/>
  <c r="B10" i="41"/>
  <c r="C10" i="41"/>
  <c r="B12" i="41"/>
  <c r="C12" i="41"/>
  <c r="B13" i="41"/>
  <c r="C13" i="41"/>
  <c r="B18" i="41"/>
  <c r="C18" i="41"/>
  <c r="B19" i="41"/>
  <c r="C19" i="41"/>
  <c r="B21" i="41"/>
  <c r="C21" i="41"/>
  <c r="B22" i="41"/>
  <c r="C22" i="41"/>
  <c r="B27" i="41"/>
  <c r="B32" i="41" s="1"/>
  <c r="C27" i="41"/>
  <c r="B28" i="41"/>
  <c r="C28" i="41"/>
  <c r="B31" i="41"/>
  <c r="B35" i="41" a="1"/>
  <c r="C36" i="41"/>
  <c r="C40" i="41"/>
  <c r="C44" i="41"/>
  <c r="E12" i="20"/>
  <c r="E14" i="20" s="1"/>
  <c r="B12" i="20" s="1"/>
  <c r="E13" i="20"/>
  <c r="S2" i="19"/>
  <c r="AE2" i="19"/>
  <c r="AF6" i="19"/>
  <c r="AF5" i="19"/>
  <c r="AH6" i="19" s="1"/>
  <c r="AF7" i="19"/>
  <c r="AH7" i="19" s="1"/>
  <c r="AF8" i="19"/>
  <c r="AH8" i="19" s="1"/>
  <c r="AF9" i="19"/>
  <c r="AF10" i="19"/>
  <c r="AF11" i="19"/>
  <c r="AF12" i="19"/>
  <c r="AF13" i="19"/>
  <c r="AF14" i="19"/>
  <c r="AF15" i="19"/>
  <c r="AF16" i="19"/>
  <c r="AH16" i="19" s="1"/>
  <c r="AF17" i="19"/>
  <c r="AF18" i="19"/>
  <c r="AF19" i="19"/>
  <c r="AF20" i="19"/>
  <c r="AF21" i="19"/>
  <c r="AF22" i="19"/>
  <c r="AH22" i="19" s="1"/>
  <c r="AF23" i="19"/>
  <c r="AF24" i="19"/>
  <c r="AF25" i="19"/>
  <c r="AF26" i="19"/>
  <c r="AF27" i="19"/>
  <c r="AF28" i="19"/>
  <c r="AH28" i="19" s="1"/>
  <c r="AF29" i="19"/>
  <c r="AF30" i="19"/>
  <c r="AF31" i="19"/>
  <c r="AF32" i="19"/>
  <c r="AF33" i="19"/>
  <c r="AF34" i="19"/>
  <c r="AF35" i="19"/>
  <c r="AF36" i="19"/>
  <c r="AF37" i="19"/>
  <c r="AF38" i="19"/>
  <c r="AF39" i="19"/>
  <c r="AF40" i="19"/>
  <c r="AF41" i="19"/>
  <c r="AF42" i="19"/>
  <c r="AF43" i="19"/>
  <c r="AF44" i="19"/>
  <c r="AF45" i="19"/>
  <c r="AF46" i="19"/>
  <c r="AF47" i="19"/>
  <c r="AF48" i="19"/>
  <c r="AF49" i="19"/>
  <c r="AF50" i="19"/>
  <c r="AF51" i="19"/>
  <c r="AF52" i="19"/>
  <c r="AF53" i="19"/>
  <c r="AF54" i="19"/>
  <c r="AF55" i="19"/>
  <c r="AF56" i="19"/>
  <c r="AF57" i="19"/>
  <c r="AF58" i="19"/>
  <c r="AF59" i="19"/>
  <c r="AF60" i="19"/>
  <c r="AF61" i="19"/>
  <c r="AF62" i="19"/>
  <c r="AF63" i="19"/>
  <c r="AK6" i="19"/>
  <c r="AK5" i="19"/>
  <c r="AK7" i="19"/>
  <c r="AM7" i="19" s="1"/>
  <c r="AK8" i="19"/>
  <c r="AK9" i="19"/>
  <c r="AK10" i="19"/>
  <c r="AK11" i="19"/>
  <c r="AK12" i="19"/>
  <c r="AK13"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51" i="19"/>
  <c r="AK52" i="19"/>
  <c r="AK53" i="19"/>
  <c r="AK54" i="19"/>
  <c r="AK55" i="19"/>
  <c r="AK56" i="19"/>
  <c r="AK57" i="19"/>
  <c r="AK58" i="19"/>
  <c r="AK59" i="19"/>
  <c r="AK60" i="19"/>
  <c r="AK61" i="19"/>
  <c r="AK62" i="19"/>
  <c r="AK63" i="19"/>
  <c r="AQ2" i="19"/>
  <c r="AR2" i="19"/>
  <c r="AS5" i="19"/>
  <c r="AS6" i="19"/>
  <c r="AS7" i="19"/>
  <c r="AS8" i="19"/>
  <c r="AS9" i="19"/>
  <c r="AS10" i="19"/>
  <c r="AS11" i="19"/>
  <c r="AS12" i="19"/>
  <c r="AS13" i="19"/>
  <c r="AS14" i="19"/>
  <c r="AS15" i="19"/>
  <c r="AS16" i="19"/>
  <c r="AS17" i="19"/>
  <c r="AS18" i="19"/>
  <c r="AS19" i="19"/>
  <c r="AS20" i="19"/>
  <c r="AS21" i="19"/>
  <c r="AS22" i="19"/>
  <c r="AS23" i="19"/>
  <c r="AS24" i="19"/>
  <c r="AS25" i="19"/>
  <c r="AS26" i="19"/>
  <c r="AS27" i="19"/>
  <c r="AS28" i="19"/>
  <c r="AS29" i="19"/>
  <c r="AU2" i="19"/>
  <c r="AV2" i="19"/>
  <c r="AW5" i="19"/>
  <c r="AW6" i="19"/>
  <c r="AW7" i="19"/>
  <c r="AW8" i="19"/>
  <c r="AW9" i="19"/>
  <c r="AW10" i="19"/>
  <c r="AW11" i="19"/>
  <c r="AW12" i="19"/>
  <c r="AW13" i="19"/>
  <c r="AW14" i="19"/>
  <c r="AW15" i="19"/>
  <c r="AW16" i="19"/>
  <c r="AW17" i="19"/>
  <c r="AW18" i="19"/>
  <c r="AW19" i="19"/>
  <c r="AW20" i="19"/>
  <c r="AW21" i="19"/>
  <c r="AW22" i="19"/>
  <c r="AW23" i="19"/>
  <c r="AW24" i="19"/>
  <c r="AW25" i="19"/>
  <c r="AW26" i="19"/>
  <c r="AW27" i="19"/>
  <c r="AW28" i="19"/>
  <c r="AW29" i="19"/>
  <c r="AW30" i="19"/>
  <c r="AW31" i="19"/>
  <c r="AW32" i="19"/>
  <c r="AW33" i="19"/>
  <c r="AW34" i="19"/>
  <c r="AW35" i="19"/>
  <c r="AW36" i="19"/>
  <c r="AW37" i="19"/>
  <c r="O4" i="19"/>
  <c r="P4" i="19"/>
  <c r="R4" i="19"/>
  <c r="S4" i="19"/>
  <c r="AY4" i="19"/>
  <c r="AZ4" i="19"/>
  <c r="BE11" i="19"/>
  <c r="L5" i="19"/>
  <c r="M5" i="19"/>
  <c r="N5" i="19"/>
  <c r="Q5" i="19"/>
  <c r="AX5" i="19"/>
  <c r="AZ5" i="19" s="1"/>
  <c r="L6" i="19"/>
  <c r="M6" i="19"/>
  <c r="N6" i="19"/>
  <c r="O6" i="19"/>
  <c r="P6" i="19"/>
  <c r="Q6" i="19"/>
  <c r="BD6" i="19"/>
  <c r="L7" i="19"/>
  <c r="M7" i="19"/>
  <c r="N7" i="19"/>
  <c r="O7" i="19"/>
  <c r="P7" i="19"/>
  <c r="BD7" i="19"/>
  <c r="BE7" i="19"/>
  <c r="L8" i="19"/>
  <c r="M8" i="19"/>
  <c r="N8" i="19"/>
  <c r="O8" i="19"/>
  <c r="P8" i="19"/>
  <c r="BD8" i="19"/>
  <c r="BE8" i="19"/>
  <c r="L9" i="19"/>
  <c r="M9" i="19"/>
  <c r="N9" i="19"/>
  <c r="O9" i="19"/>
  <c r="P9" i="19"/>
  <c r="L10" i="19"/>
  <c r="M10" i="19"/>
  <c r="N10" i="19"/>
  <c r="O10" i="19"/>
  <c r="P10" i="19"/>
  <c r="L11" i="19"/>
  <c r="M11" i="19"/>
  <c r="N11" i="19"/>
  <c r="O11" i="19"/>
  <c r="P11" i="19"/>
  <c r="L12" i="19"/>
  <c r="M12" i="19"/>
  <c r="N12" i="19"/>
  <c r="O12" i="19"/>
  <c r="P12" i="19"/>
  <c r="L13" i="19"/>
  <c r="M13" i="19"/>
  <c r="N13" i="19"/>
  <c r="O13" i="19"/>
  <c r="P13" i="19"/>
  <c r="L14" i="19"/>
  <c r="M14" i="19"/>
  <c r="N14" i="19"/>
  <c r="O14" i="19"/>
  <c r="P14" i="19"/>
  <c r="L15" i="19"/>
  <c r="M15" i="19"/>
  <c r="N15" i="19"/>
  <c r="O15" i="19"/>
  <c r="P15" i="19"/>
  <c r="L16" i="19"/>
  <c r="M16" i="19"/>
  <c r="N16" i="19"/>
  <c r="O16" i="19"/>
  <c r="P16" i="19"/>
  <c r="L17" i="19"/>
  <c r="M17" i="19"/>
  <c r="N17" i="19"/>
  <c r="O17" i="19"/>
  <c r="P17" i="19"/>
  <c r="R17" i="19"/>
  <c r="S17" i="19"/>
  <c r="T17" i="19"/>
  <c r="AE17" i="19"/>
  <c r="L18" i="19"/>
  <c r="M18" i="19"/>
  <c r="N18" i="19"/>
  <c r="O18" i="19"/>
  <c r="P18" i="19"/>
  <c r="R18" i="19"/>
  <c r="S18" i="19"/>
  <c r="AD18" i="19"/>
  <c r="L19" i="19"/>
  <c r="M19" i="19"/>
  <c r="N19" i="19"/>
  <c r="O19" i="19"/>
  <c r="P19" i="19"/>
  <c r="R19" i="19"/>
  <c r="S19" i="19"/>
  <c r="T19" i="19" s="1"/>
  <c r="AD19" i="19"/>
  <c r="L20" i="19"/>
  <c r="M20" i="19"/>
  <c r="N20" i="19"/>
  <c r="O20" i="19"/>
  <c r="P20" i="19"/>
  <c r="R20" i="19"/>
  <c r="S20" i="19"/>
  <c r="AE20" i="19"/>
  <c r="L21" i="19"/>
  <c r="M21" i="19"/>
  <c r="N21" i="19"/>
  <c r="O21" i="19"/>
  <c r="P21" i="19"/>
  <c r="R21" i="19"/>
  <c r="S21" i="19"/>
  <c r="T21" i="19"/>
  <c r="AE21" i="19"/>
  <c r="L22" i="19"/>
  <c r="M22" i="19"/>
  <c r="N22" i="19"/>
  <c r="O22" i="19"/>
  <c r="P22" i="19"/>
  <c r="R22" i="19"/>
  <c r="S22" i="19"/>
  <c r="AD22" i="19"/>
  <c r="L23" i="19"/>
  <c r="M23" i="19"/>
  <c r="N23" i="19"/>
  <c r="O23" i="19"/>
  <c r="P23" i="19"/>
  <c r="R23" i="19"/>
  <c r="S23" i="19"/>
  <c r="AD23" i="19"/>
  <c r="L24" i="19"/>
  <c r="M24" i="19"/>
  <c r="N24" i="19"/>
  <c r="O24" i="19"/>
  <c r="P24" i="19"/>
  <c r="R24" i="19"/>
  <c r="S24" i="19"/>
  <c r="AE24" i="19"/>
  <c r="L25" i="19"/>
  <c r="M25" i="19"/>
  <c r="N25" i="19"/>
  <c r="O25" i="19"/>
  <c r="P25" i="19"/>
  <c r="R25" i="19"/>
  <c r="S25" i="19"/>
  <c r="AD25" i="19"/>
  <c r="L26" i="19"/>
  <c r="M26" i="19"/>
  <c r="N26" i="19"/>
  <c r="O26" i="19"/>
  <c r="P26" i="19"/>
  <c r="R26" i="19"/>
  <c r="S26" i="19"/>
  <c r="AD26" i="19"/>
  <c r="L27" i="19"/>
  <c r="M27" i="19"/>
  <c r="N27" i="19"/>
  <c r="O27" i="19"/>
  <c r="P27" i="19"/>
  <c r="R27" i="19"/>
  <c r="S27" i="19"/>
  <c r="AE27" i="19"/>
  <c r="L28" i="19"/>
  <c r="M28" i="19"/>
  <c r="N28" i="19"/>
  <c r="O28" i="19"/>
  <c r="P28" i="19"/>
  <c r="R28" i="19"/>
  <c r="S28" i="19"/>
  <c r="AE28" i="19"/>
  <c r="L29" i="19"/>
  <c r="M29" i="19"/>
  <c r="N29" i="19"/>
  <c r="O29" i="19"/>
  <c r="P29" i="19"/>
  <c r="R29" i="19"/>
  <c r="S29" i="19"/>
  <c r="AD29" i="19"/>
  <c r="L30" i="19"/>
  <c r="M30" i="19"/>
  <c r="N30" i="19"/>
  <c r="O30" i="19"/>
  <c r="P30" i="19"/>
  <c r="R30" i="19"/>
  <c r="S30" i="19"/>
  <c r="AD30" i="19"/>
  <c r="L31" i="19"/>
  <c r="M31" i="19"/>
  <c r="N31" i="19"/>
  <c r="O31" i="19"/>
  <c r="P31" i="19"/>
  <c r="R31" i="19"/>
  <c r="S31" i="19"/>
  <c r="AE31" i="19"/>
  <c r="L32" i="19"/>
  <c r="M32" i="19"/>
  <c r="N32" i="19"/>
  <c r="O32" i="19"/>
  <c r="P32" i="19"/>
  <c r="R32" i="19"/>
  <c r="S32" i="19"/>
  <c r="U32" i="19"/>
  <c r="V32" i="19" s="1"/>
  <c r="AE32" i="19"/>
  <c r="L33" i="19"/>
  <c r="M33" i="19"/>
  <c r="N33" i="19"/>
  <c r="O33" i="19"/>
  <c r="P33" i="19"/>
  <c r="R33" i="19"/>
  <c r="S33" i="19"/>
  <c r="AD33" i="19"/>
  <c r="L34" i="19"/>
  <c r="M34" i="19"/>
  <c r="N34" i="19"/>
  <c r="O34" i="19"/>
  <c r="P34" i="19"/>
  <c r="R34" i="19"/>
  <c r="S34" i="19"/>
  <c r="AD34" i="19"/>
  <c r="L35" i="19"/>
  <c r="M35" i="19"/>
  <c r="N35" i="19"/>
  <c r="O35" i="19"/>
  <c r="P35" i="19"/>
  <c r="R35" i="19"/>
  <c r="S35" i="19"/>
  <c r="AE35" i="19"/>
  <c r="L36" i="19"/>
  <c r="M36" i="19"/>
  <c r="N36" i="19"/>
  <c r="O36" i="19"/>
  <c r="P36" i="19"/>
  <c r="R36" i="19"/>
  <c r="S36" i="19"/>
  <c r="AE36" i="19"/>
  <c r="L37" i="19"/>
  <c r="M37" i="19"/>
  <c r="N37" i="19"/>
  <c r="O37" i="19"/>
  <c r="P37" i="19"/>
  <c r="R37" i="19"/>
  <c r="S37" i="19"/>
  <c r="AD37" i="19"/>
  <c r="L38" i="19"/>
  <c r="M38" i="19"/>
  <c r="N38" i="19"/>
  <c r="O38" i="19"/>
  <c r="P38" i="19"/>
  <c r="R38" i="19"/>
  <c r="S38" i="19"/>
  <c r="AD38" i="19"/>
  <c r="L39" i="19"/>
  <c r="M39" i="19"/>
  <c r="N39" i="19"/>
  <c r="O39" i="19"/>
  <c r="P39" i="19"/>
  <c r="R39" i="19"/>
  <c r="S39" i="19"/>
  <c r="AE39" i="19"/>
  <c r="L40" i="19"/>
  <c r="M40" i="19"/>
  <c r="N40" i="19"/>
  <c r="O40" i="19"/>
  <c r="P40" i="19"/>
  <c r="R40" i="19"/>
  <c r="S40" i="19"/>
  <c r="U40" i="19"/>
  <c r="V40" i="19" s="1"/>
  <c r="AE40" i="19"/>
  <c r="L41" i="19"/>
  <c r="M41" i="19"/>
  <c r="N41" i="19"/>
  <c r="O41" i="19"/>
  <c r="P41" i="19"/>
  <c r="R41" i="19"/>
  <c r="S41" i="19"/>
  <c r="AD41" i="19"/>
  <c r="L42" i="19"/>
  <c r="M42" i="19"/>
  <c r="N42" i="19"/>
  <c r="O42" i="19"/>
  <c r="P42" i="19"/>
  <c r="R42" i="19"/>
  <c r="S42" i="19"/>
  <c r="AD42" i="19"/>
  <c r="L43" i="19"/>
  <c r="M43" i="19"/>
  <c r="N43" i="19"/>
  <c r="O43" i="19"/>
  <c r="P43" i="19"/>
  <c r="R43" i="19"/>
  <c r="S43" i="19"/>
  <c r="AE43" i="19"/>
  <c r="L44" i="19"/>
  <c r="M44" i="19"/>
  <c r="N44" i="19"/>
  <c r="O44" i="19"/>
  <c r="P44" i="19"/>
  <c r="R44" i="19"/>
  <c r="S44" i="19"/>
  <c r="AE44" i="19"/>
  <c r="L45" i="19"/>
  <c r="M45" i="19"/>
  <c r="N45" i="19"/>
  <c r="O45" i="19"/>
  <c r="P45" i="19"/>
  <c r="R45" i="19"/>
  <c r="S45" i="19"/>
  <c r="AD45" i="19"/>
  <c r="L46" i="19"/>
  <c r="M46" i="19"/>
  <c r="N46" i="19"/>
  <c r="O46" i="19"/>
  <c r="P46" i="19"/>
  <c r="R46" i="19"/>
  <c r="S46" i="19"/>
  <c r="AD46" i="19"/>
  <c r="L47" i="19"/>
  <c r="M47" i="19"/>
  <c r="N47" i="19"/>
  <c r="O47" i="19"/>
  <c r="P47" i="19"/>
  <c r="R47" i="19"/>
  <c r="S47" i="19"/>
  <c r="AE47" i="19"/>
  <c r="L48" i="19"/>
  <c r="M48" i="19"/>
  <c r="N48" i="19"/>
  <c r="O48" i="19"/>
  <c r="P48" i="19"/>
  <c r="R48" i="19"/>
  <c r="S48" i="19"/>
  <c r="U48" i="19"/>
  <c r="V48" i="19" s="1"/>
  <c r="AE48" i="19"/>
  <c r="L49" i="19"/>
  <c r="M49" i="19"/>
  <c r="N49" i="19"/>
  <c r="O49" i="19"/>
  <c r="P49" i="19"/>
  <c r="R49" i="19"/>
  <c r="S49" i="19"/>
  <c r="AD49" i="19"/>
  <c r="L50" i="19"/>
  <c r="M50" i="19"/>
  <c r="N50" i="19"/>
  <c r="O50" i="19"/>
  <c r="P50" i="19"/>
  <c r="R50" i="19"/>
  <c r="S50" i="19"/>
  <c r="AD50" i="19"/>
  <c r="L51" i="19"/>
  <c r="M51" i="19"/>
  <c r="N51" i="19"/>
  <c r="O51" i="19"/>
  <c r="P51" i="19"/>
  <c r="R51" i="19"/>
  <c r="S51" i="19"/>
  <c r="AE51" i="19"/>
  <c r="L52" i="19"/>
  <c r="M52" i="19"/>
  <c r="N52" i="19"/>
  <c r="O52" i="19"/>
  <c r="P52" i="19"/>
  <c r="R52" i="19"/>
  <c r="S52" i="19"/>
  <c r="AE52" i="19"/>
  <c r="L53" i="19"/>
  <c r="M53" i="19"/>
  <c r="N53" i="19"/>
  <c r="O53" i="19"/>
  <c r="P53" i="19"/>
  <c r="R53" i="19"/>
  <c r="S53" i="19"/>
  <c r="U53" i="19"/>
  <c r="V53" i="19" s="1"/>
  <c r="AD53" i="19"/>
  <c r="L54" i="19"/>
  <c r="M54" i="19"/>
  <c r="N54" i="19"/>
  <c r="O54" i="19"/>
  <c r="P54" i="19"/>
  <c r="R54" i="19"/>
  <c r="S54" i="19"/>
  <c r="AD54" i="19"/>
  <c r="L55" i="19"/>
  <c r="M55" i="19"/>
  <c r="N55" i="19"/>
  <c r="O55" i="19"/>
  <c r="P55" i="19"/>
  <c r="R55" i="19"/>
  <c r="S55" i="19"/>
  <c r="AE55" i="19"/>
  <c r="L56" i="19"/>
  <c r="M56" i="19"/>
  <c r="N56" i="19"/>
  <c r="O56" i="19"/>
  <c r="P56" i="19"/>
  <c r="R56" i="19"/>
  <c r="S56" i="19"/>
  <c r="U56" i="19"/>
  <c r="AE56" i="19"/>
  <c r="L57" i="19"/>
  <c r="M57" i="19"/>
  <c r="N57" i="19"/>
  <c r="O57" i="19"/>
  <c r="P57" i="19"/>
  <c r="R57" i="19"/>
  <c r="S57" i="19"/>
  <c r="AE57" i="19"/>
  <c r="L58" i="19"/>
  <c r="M58" i="19"/>
  <c r="N58" i="19"/>
  <c r="O58" i="19"/>
  <c r="P58" i="19"/>
  <c r="R58" i="19"/>
  <c r="S58" i="19"/>
  <c r="AE58" i="19"/>
  <c r="L59" i="19"/>
  <c r="M59" i="19"/>
  <c r="N59" i="19"/>
  <c r="O59" i="19"/>
  <c r="P59" i="19"/>
  <c r="R59" i="19"/>
  <c r="S59" i="19"/>
  <c r="U59" i="19"/>
  <c r="V59" i="19" s="1"/>
  <c r="AD59" i="19"/>
  <c r="L60" i="19"/>
  <c r="M60" i="19"/>
  <c r="N60" i="19"/>
  <c r="O60" i="19"/>
  <c r="P60" i="19"/>
  <c r="R60" i="19"/>
  <c r="S60" i="19"/>
  <c r="AD60" i="19"/>
  <c r="L61" i="19"/>
  <c r="M61" i="19"/>
  <c r="N61" i="19"/>
  <c r="O61" i="19"/>
  <c r="P61" i="19"/>
  <c r="R61" i="19"/>
  <c r="S61" i="19"/>
  <c r="AE61" i="19"/>
  <c r="L62" i="19"/>
  <c r="M62" i="19"/>
  <c r="N62" i="19"/>
  <c r="O62" i="19"/>
  <c r="P62" i="19"/>
  <c r="R62" i="19"/>
  <c r="S62" i="19"/>
  <c r="T62" i="19"/>
  <c r="AE62" i="19"/>
  <c r="L63" i="19"/>
  <c r="M63" i="19"/>
  <c r="N63" i="19"/>
  <c r="O63" i="19"/>
  <c r="P63" i="19"/>
  <c r="R63" i="19"/>
  <c r="S63" i="19"/>
  <c r="T63" i="19"/>
  <c r="AE63" i="19"/>
  <c r="B32" i="20"/>
  <c r="B36" i="20"/>
  <c r="B40" i="20"/>
  <c r="B44" i="20"/>
  <c r="B48" i="20"/>
  <c r="B52" i="20"/>
  <c r="B56" i="20"/>
  <c r="B60" i="20"/>
  <c r="B64" i="20"/>
  <c r="B68" i="20"/>
  <c r="B72" i="20"/>
  <c r="B35" i="20"/>
  <c r="B43" i="20"/>
  <c r="B51" i="20"/>
  <c r="B59" i="20"/>
  <c r="B67" i="20"/>
  <c r="B37" i="20"/>
  <c r="B53" i="20"/>
  <c r="B69" i="20"/>
  <c r="B57" i="20"/>
  <c r="B49" i="20"/>
  <c r="B34" i="20"/>
  <c r="B38" i="20"/>
  <c r="B42" i="20"/>
  <c r="B46" i="20"/>
  <c r="B50" i="20"/>
  <c r="B54" i="20"/>
  <c r="B58" i="20"/>
  <c r="B62" i="20"/>
  <c r="B66" i="20"/>
  <c r="B70" i="20"/>
  <c r="B31" i="20"/>
  <c r="B39" i="20"/>
  <c r="B47" i="20"/>
  <c r="B55" i="20"/>
  <c r="B63" i="20"/>
  <c r="B71" i="20"/>
  <c r="B45" i="20"/>
  <c r="B61" i="20"/>
  <c r="B41" i="20"/>
  <c r="B33" i="20"/>
  <c r="B65" i="20"/>
  <c r="AL5" i="21"/>
  <c r="AL5" i="19"/>
  <c r="AG7" i="19"/>
  <c r="AG8" i="21"/>
  <c r="AG22" i="19"/>
  <c r="AG8" i="19"/>
  <c r="AG16" i="19"/>
  <c r="AL7" i="19"/>
  <c r="AG5" i="21"/>
  <c r="AG5" i="19"/>
  <c r="AL8" i="21"/>
  <c r="AG28" i="19"/>
  <c r="W53" i="19" l="1"/>
  <c r="U23" i="19"/>
  <c r="V23" i="19" s="1"/>
  <c r="U26" i="19"/>
  <c r="V26" i="19" s="1"/>
  <c r="U30" i="19"/>
  <c r="V30" i="19" s="1"/>
  <c r="U34" i="19"/>
  <c r="V34" i="19" s="1"/>
  <c r="U38" i="19"/>
  <c r="V38" i="19" s="1"/>
  <c r="U42" i="19"/>
  <c r="V42" i="19" s="1"/>
  <c r="U46" i="19"/>
  <c r="V46" i="19" s="1"/>
  <c r="U50" i="19"/>
  <c r="V50" i="19" s="1"/>
  <c r="U51" i="19"/>
  <c r="U54" i="19"/>
  <c r="V54" i="19" s="1"/>
  <c r="U55" i="19"/>
  <c r="U57" i="19"/>
  <c r="U60" i="19"/>
  <c r="W60" i="19" s="1"/>
  <c r="U61" i="19"/>
  <c r="U58" i="19"/>
  <c r="W58" i="19" s="1"/>
  <c r="X58" i="19" s="1"/>
  <c r="U52" i="19"/>
  <c r="V52" i="19" s="1"/>
  <c r="U49" i="19"/>
  <c r="V49" i="19" s="1"/>
  <c r="U44" i="19"/>
  <c r="V44" i="19" s="1"/>
  <c r="U36" i="19"/>
  <c r="V36" i="19" s="1"/>
  <c r="U28" i="19"/>
  <c r="V28" i="19" s="1"/>
  <c r="U47" i="19"/>
  <c r="AH31" i="19"/>
  <c r="AH29" i="19"/>
  <c r="AH27" i="19"/>
  <c r="W59" i="19"/>
  <c r="X59" i="19" s="1"/>
  <c r="AH32" i="19"/>
  <c r="AH30" i="19"/>
  <c r="AH10" i="19"/>
  <c r="AD17" i="19"/>
  <c r="AE18" i="19"/>
  <c r="AE19" i="19"/>
  <c r="AD20" i="19"/>
  <c r="AD21" i="19"/>
  <c r="AE22" i="19"/>
  <c r="AE23" i="19"/>
  <c r="AD24" i="19"/>
  <c r="AE25" i="19"/>
  <c r="AE26" i="19"/>
  <c r="AD27" i="19"/>
  <c r="AD28" i="19"/>
  <c r="AE29" i="19"/>
  <c r="AE30" i="19"/>
  <c r="AD31" i="19"/>
  <c r="AD32" i="19"/>
  <c r="AE33" i="19"/>
  <c r="AE34" i="19"/>
  <c r="AD35" i="19"/>
  <c r="AD36" i="19"/>
  <c r="AE37" i="19"/>
  <c r="AE38" i="19"/>
  <c r="AD39" i="19"/>
  <c r="AD40" i="19"/>
  <c r="AE41" i="19"/>
  <c r="AE42" i="19"/>
  <c r="AD43" i="19"/>
  <c r="AD44" i="19"/>
  <c r="AE45" i="19"/>
  <c r="AE46" i="19"/>
  <c r="AD47" i="19"/>
  <c r="AD48" i="19"/>
  <c r="AE49" i="19"/>
  <c r="AE50" i="19"/>
  <c r="AD51" i="19"/>
  <c r="AD52" i="19"/>
  <c r="AE53" i="19"/>
  <c r="AE54" i="19"/>
  <c r="AD55" i="19"/>
  <c r="AD56" i="19"/>
  <c r="AD57" i="19"/>
  <c r="AD58" i="19"/>
  <c r="AE59" i="19"/>
  <c r="AE60" i="19"/>
  <c r="AD61" i="19"/>
  <c r="AD62" i="19"/>
  <c r="AD63" i="19"/>
  <c r="C35" i="41"/>
  <c r="C37" i="41"/>
  <c r="C39" i="41"/>
  <c r="C41" i="41"/>
  <c r="C43" i="41"/>
  <c r="Q8" i="21"/>
  <c r="Q9" i="21" s="1"/>
  <c r="Q10" i="21" s="1"/>
  <c r="Q11" i="21" s="1"/>
  <c r="Q12" i="21" s="1"/>
  <c r="Q13" i="21" s="1"/>
  <c r="Q14" i="21" s="1"/>
  <c r="Q15" i="21" s="1"/>
  <c r="Q16" i="21" s="1"/>
  <c r="Q17" i="21" s="1"/>
  <c r="Q18" i="21" s="1"/>
  <c r="Q19" i="21" s="1"/>
  <c r="Q20" i="21" s="1"/>
  <c r="Q21" i="21" s="1"/>
  <c r="Q22" i="21" s="1"/>
  <c r="Q23" i="21" s="1"/>
  <c r="Q24" i="21" s="1"/>
  <c r="Q25" i="21" s="1"/>
  <c r="Q26" i="21" s="1"/>
  <c r="Q27" i="21" s="1"/>
  <c r="Q28" i="21" s="1"/>
  <c r="Q29" i="21" s="1"/>
  <c r="Q30" i="21" s="1"/>
  <c r="Q31" i="21" s="1"/>
  <c r="Q32" i="21" s="1"/>
  <c r="Q33" i="21" s="1"/>
  <c r="Q34" i="21" s="1"/>
  <c r="Q35" i="21" s="1"/>
  <c r="Q36" i="21" s="1"/>
  <c r="Q37" i="21" s="1"/>
  <c r="Q38" i="21" s="1"/>
  <c r="Q39" i="21" s="1"/>
  <c r="Q40" i="21" s="1"/>
  <c r="Q41" i="21" s="1"/>
  <c r="Q42" i="21" s="1"/>
  <c r="Q43" i="21" s="1"/>
  <c r="Q44" i="21" s="1"/>
  <c r="Q45" i="21" s="1"/>
  <c r="Q46" i="21" s="1"/>
  <c r="Q47" i="21" s="1"/>
  <c r="Q48" i="21" s="1"/>
  <c r="Q49" i="21" s="1"/>
  <c r="Q50" i="21" s="1"/>
  <c r="Q51" i="21" s="1"/>
  <c r="Q52" i="21" s="1"/>
  <c r="Q53" i="21" s="1"/>
  <c r="Q54" i="21" s="1"/>
  <c r="V44" i="21"/>
  <c r="V36" i="21"/>
  <c r="U18" i="21"/>
  <c r="V18" i="21" s="1"/>
  <c r="U44" i="21"/>
  <c r="W44" i="21" s="1"/>
  <c r="U28" i="21"/>
  <c r="W28" i="21" s="1"/>
  <c r="AH7" i="21"/>
  <c r="AH6" i="21"/>
  <c r="Q7" i="19"/>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AM6" i="19"/>
  <c r="AH23" i="19"/>
  <c r="AH19" i="19"/>
  <c r="AH17" i="19"/>
  <c r="AH11" i="19"/>
  <c r="AH9" i="19"/>
  <c r="C42" i="41"/>
  <c r="C38" i="41"/>
  <c r="W48" i="21"/>
  <c r="U52" i="21"/>
  <c r="W52" i="21" s="1"/>
  <c r="U36" i="21"/>
  <c r="W36" i="21" s="1"/>
  <c r="U20" i="21"/>
  <c r="W20" i="21" s="1"/>
  <c r="AH13" i="21"/>
  <c r="AH9" i="21"/>
  <c r="U19" i="21"/>
  <c r="V19" i="21" s="1"/>
  <c r="U48" i="21"/>
  <c r="V48" i="21" s="1"/>
  <c r="X48" i="21" s="1"/>
  <c r="U40" i="21"/>
  <c r="W40" i="21" s="1"/>
  <c r="U32" i="21"/>
  <c r="V32" i="21" s="1"/>
  <c r="U24" i="21"/>
  <c r="W24" i="21" s="1"/>
  <c r="AM60" i="19"/>
  <c r="AM54" i="19"/>
  <c r="AM52" i="19"/>
  <c r="AM50" i="19"/>
  <c r="AM48" i="19"/>
  <c r="AM46" i="19"/>
  <c r="AM32" i="19"/>
  <c r="AM30" i="19"/>
  <c r="AM26" i="19"/>
  <c r="AM24" i="19"/>
  <c r="AM22" i="19"/>
  <c r="AM20" i="19"/>
  <c r="AM18" i="19"/>
  <c r="AM14" i="19"/>
  <c r="AM12" i="19"/>
  <c r="AM10" i="19"/>
  <c r="AM8" i="19"/>
  <c r="AM19" i="21"/>
  <c r="AM15" i="21"/>
  <c r="AM11" i="21"/>
  <c r="AM9" i="21"/>
  <c r="AJ8" i="19"/>
  <c r="AI8" i="19"/>
  <c r="W63" i="19"/>
  <c r="T61" i="19"/>
  <c r="V60" i="19"/>
  <c r="X60" i="19" s="1"/>
  <c r="T57" i="19"/>
  <c r="V56" i="19"/>
  <c r="X56" i="19" s="1"/>
  <c r="W56" i="19"/>
  <c r="U62" i="19"/>
  <c r="V62" i="19" s="1"/>
  <c r="U63" i="19"/>
  <c r="V63" i="19" s="1"/>
  <c r="T59" i="19"/>
  <c r="V58" i="19"/>
  <c r="V47" i="19"/>
  <c r="W47" i="19"/>
  <c r="T55" i="19"/>
  <c r="T53" i="19"/>
  <c r="X53" i="19"/>
  <c r="Y53" i="19" s="1"/>
  <c r="T51" i="19"/>
  <c r="T39" i="19"/>
  <c r="T37" i="19"/>
  <c r="T35" i="19"/>
  <c r="T33" i="19"/>
  <c r="T31" i="19"/>
  <c r="T29" i="19"/>
  <c r="T27" i="19"/>
  <c r="T25" i="19"/>
  <c r="T24" i="19"/>
  <c r="W23" i="19"/>
  <c r="T22" i="19"/>
  <c r="T20" i="19"/>
  <c r="T18" i="19"/>
  <c r="U18" i="19"/>
  <c r="U20" i="19"/>
  <c r="U22" i="19"/>
  <c r="U24" i="19"/>
  <c r="AW2" i="19"/>
  <c r="T49" i="19"/>
  <c r="T47" i="19"/>
  <c r="T45" i="19"/>
  <c r="T43" i="19"/>
  <c r="T41" i="19"/>
  <c r="T60" i="19"/>
  <c r="T58" i="19"/>
  <c r="T56" i="19"/>
  <c r="W54" i="19"/>
  <c r="T54" i="19"/>
  <c r="X54" i="19"/>
  <c r="W52" i="19"/>
  <c r="T52" i="19"/>
  <c r="X52" i="19"/>
  <c r="W50" i="19"/>
  <c r="T50" i="19"/>
  <c r="X50" i="19"/>
  <c r="W48" i="19"/>
  <c r="T48" i="19"/>
  <c r="X48" i="19"/>
  <c r="T46" i="19"/>
  <c r="U45" i="19"/>
  <c r="T44" i="19"/>
  <c r="U43" i="19"/>
  <c r="W42" i="19"/>
  <c r="T42" i="19"/>
  <c r="X42" i="19"/>
  <c r="U41" i="19"/>
  <c r="W40" i="19"/>
  <c r="T40" i="19"/>
  <c r="X40" i="19"/>
  <c r="U39" i="19"/>
  <c r="T38" i="19"/>
  <c r="U37" i="19"/>
  <c r="W36" i="19"/>
  <c r="T36" i="19"/>
  <c r="X36" i="19"/>
  <c r="U35" i="19"/>
  <c r="W34" i="19"/>
  <c r="T34" i="19"/>
  <c r="X34" i="19"/>
  <c r="U33" i="19"/>
  <c r="W32" i="19"/>
  <c r="T32" i="19"/>
  <c r="X32" i="19"/>
  <c r="U31" i="19"/>
  <c r="T30" i="19"/>
  <c r="U29" i="19"/>
  <c r="T28" i="19"/>
  <c r="U27" i="19"/>
  <c r="W26" i="19"/>
  <c r="T26" i="19"/>
  <c r="X26" i="19"/>
  <c r="U25" i="19"/>
  <c r="T23" i="19"/>
  <c r="AY5" i="19"/>
  <c r="AX6" i="19"/>
  <c r="U17" i="19"/>
  <c r="V17" i="19" s="1"/>
  <c r="U19" i="19"/>
  <c r="U21" i="19"/>
  <c r="V21" i="19" s="1"/>
  <c r="BD11" i="19"/>
  <c r="BD4" i="19" s="1"/>
  <c r="BD12" i="19" s="1"/>
  <c r="BE4" i="19"/>
  <c r="AS2" i="19"/>
  <c r="AM63" i="19"/>
  <c r="AM61" i="19"/>
  <c r="AM55" i="19"/>
  <c r="AM53" i="19"/>
  <c r="AM49" i="19"/>
  <c r="AM47" i="19"/>
  <c r="AM43" i="19"/>
  <c r="AM33" i="19"/>
  <c r="AM31" i="19"/>
  <c r="AM29" i="19"/>
  <c r="AM27" i="19"/>
  <c r="AM25" i="19"/>
  <c r="AM23" i="19"/>
  <c r="AM21" i="19"/>
  <c r="AM19" i="19"/>
  <c r="AM17" i="19"/>
  <c r="AM15" i="19"/>
  <c r="AM13" i="19"/>
  <c r="AM11" i="19"/>
  <c r="AM9" i="19"/>
  <c r="V17" i="21"/>
  <c r="W18" i="21"/>
  <c r="X44" i="21"/>
  <c r="X36" i="21"/>
  <c r="B35" i="41"/>
  <c r="B36" i="41"/>
  <c r="B37" i="41"/>
  <c r="B38" i="41"/>
  <c r="B39" i="41"/>
  <c r="B40" i="41"/>
  <c r="B41" i="41"/>
  <c r="B42" i="41"/>
  <c r="B43" i="41"/>
  <c r="B44" i="41"/>
  <c r="B45" i="41"/>
  <c r="T52" i="21"/>
  <c r="T48" i="21"/>
  <c r="T44" i="21"/>
  <c r="T40" i="21"/>
  <c r="T36" i="21"/>
  <c r="T32" i="21"/>
  <c r="T28" i="21"/>
  <c r="T24" i="21"/>
  <c r="T20" i="21"/>
  <c r="U54" i="21"/>
  <c r="V54" i="21" s="1"/>
  <c r="U50" i="21"/>
  <c r="U46" i="21"/>
  <c r="V46" i="21" s="1"/>
  <c r="U42" i="21"/>
  <c r="V42" i="21" s="1"/>
  <c r="U38" i="21"/>
  <c r="V38" i="21" s="1"/>
  <c r="U34" i="21"/>
  <c r="U30" i="21"/>
  <c r="V30" i="21" s="1"/>
  <c r="U26" i="21"/>
  <c r="V26" i="21" s="1"/>
  <c r="U22" i="21"/>
  <c r="V22" i="21" s="1"/>
  <c r="T17" i="21"/>
  <c r="T53" i="21"/>
  <c r="T51" i="21"/>
  <c r="T49" i="21"/>
  <c r="T47" i="21"/>
  <c r="T45" i="21"/>
  <c r="T43" i="21"/>
  <c r="T41" i="21"/>
  <c r="T39" i="21"/>
  <c r="T37" i="21"/>
  <c r="T35" i="21"/>
  <c r="T33" i="21"/>
  <c r="T31" i="21"/>
  <c r="T29" i="21"/>
  <c r="T27" i="21"/>
  <c r="T25" i="21"/>
  <c r="T23" i="21"/>
  <c r="T21" i="21"/>
  <c r="T19" i="21"/>
  <c r="U17" i="21"/>
  <c r="W17" i="21" s="1"/>
  <c r="U53" i="21"/>
  <c r="W53" i="21" s="1"/>
  <c r="U51" i="21"/>
  <c r="W51" i="21" s="1"/>
  <c r="U49" i="21"/>
  <c r="W49" i="21" s="1"/>
  <c r="U47" i="21"/>
  <c r="W47" i="21" s="1"/>
  <c r="U45" i="21"/>
  <c r="W45" i="21" s="1"/>
  <c r="U43" i="21"/>
  <c r="W43" i="21" s="1"/>
  <c r="U41" i="21"/>
  <c r="W41" i="21" s="1"/>
  <c r="U39" i="21"/>
  <c r="W39" i="21" s="1"/>
  <c r="U37" i="21"/>
  <c r="W37" i="21" s="1"/>
  <c r="U35" i="21"/>
  <c r="W35" i="21" s="1"/>
  <c r="U33" i="21"/>
  <c r="W33" i="21" s="1"/>
  <c r="U31" i="21"/>
  <c r="W31" i="21" s="1"/>
  <c r="U29" i="21"/>
  <c r="W29" i="21" s="1"/>
  <c r="U27" i="21"/>
  <c r="W27" i="21" s="1"/>
  <c r="U25" i="21"/>
  <c r="V25" i="21" s="1"/>
  <c r="U23" i="21"/>
  <c r="W23" i="21" s="1"/>
  <c r="U21" i="21"/>
  <c r="W21" i="21" s="1"/>
  <c r="AM22" i="21"/>
  <c r="AM23" i="21" s="1"/>
  <c r="AM20" i="21"/>
  <c r="AM18" i="21"/>
  <c r="AM16" i="21"/>
  <c r="AM12" i="21"/>
  <c r="AM10" i="21"/>
  <c r="AM7" i="21"/>
  <c r="AM6" i="21"/>
  <c r="AG29" i="19"/>
  <c r="AG30" i="19"/>
  <c r="AL6" i="19"/>
  <c r="AG17" i="19"/>
  <c r="AG9" i="19"/>
  <c r="AG13" i="21"/>
  <c r="AG9" i="21"/>
  <c r="AL52" i="19"/>
  <c r="AL32" i="19"/>
  <c r="AL22" i="19"/>
  <c r="AL12" i="19"/>
  <c r="AL15" i="21"/>
  <c r="AG6" i="19"/>
  <c r="AG6" i="21"/>
  <c r="AL63" i="19"/>
  <c r="AL10" i="21"/>
  <c r="AL11" i="19"/>
  <c r="AL43" i="19"/>
  <c r="AL27" i="19"/>
  <c r="AL19" i="19"/>
  <c r="AG31" i="19"/>
  <c r="AG27" i="19"/>
  <c r="AG32" i="19"/>
  <c r="AG10" i="19"/>
  <c r="AG7" i="21"/>
  <c r="AG23" i="19"/>
  <c r="AG19" i="19"/>
  <c r="AG11" i="19"/>
  <c r="AL54" i="19"/>
  <c r="AL46" i="19"/>
  <c r="AL24" i="19"/>
  <c r="AL14" i="19"/>
  <c r="AL19" i="21"/>
  <c r="AL61" i="19"/>
  <c r="AL47" i="19"/>
  <c r="AL29" i="19"/>
  <c r="AL25" i="19"/>
  <c r="AL13" i="19"/>
  <c r="AL48" i="19"/>
  <c r="AL18" i="19"/>
  <c r="AL9" i="21"/>
  <c r="AL17" i="19"/>
  <c r="AL30" i="19"/>
  <c r="AL10" i="19"/>
  <c r="AL21" i="19"/>
  <c r="AL55" i="19"/>
  <c r="AL20" i="21"/>
  <c r="AL23" i="19"/>
  <c r="AL16" i="21"/>
  <c r="AL60" i="19"/>
  <c r="AL26" i="19"/>
  <c r="AL8" i="19"/>
  <c r="AL33" i="19"/>
  <c r="AL18" i="21"/>
  <c r="AL50" i="19"/>
  <c r="AL20" i="19"/>
  <c r="AL11" i="21"/>
  <c r="AL49" i="19"/>
  <c r="AL22" i="21"/>
  <c r="AL31" i="19"/>
  <c r="AL53" i="19"/>
  <c r="AL15" i="19"/>
  <c r="AL12" i="21"/>
  <c r="AL7" i="21"/>
  <c r="AJ11" i="19" l="1"/>
  <c r="AI23" i="19"/>
  <c r="AJ23" i="19"/>
  <c r="AJ8" i="21"/>
  <c r="AI8" i="21"/>
  <c r="AJ10" i="19"/>
  <c r="AI11" i="19"/>
  <c r="AJ32" i="19"/>
  <c r="AI28" i="19"/>
  <c r="AJ28" i="19"/>
  <c r="AI32" i="19"/>
  <c r="AJ31" i="19"/>
  <c r="AJ9" i="21"/>
  <c r="AI9" i="21"/>
  <c r="AI10" i="19"/>
  <c r="AJ9" i="19"/>
  <c r="AI9" i="19"/>
  <c r="AJ17" i="19"/>
  <c r="AI17" i="19"/>
  <c r="AO6" i="19"/>
  <c r="AN6" i="19"/>
  <c r="AN7" i="19"/>
  <c r="AO7" i="19"/>
  <c r="AI31" i="19"/>
  <c r="AJ30" i="19"/>
  <c r="AI30" i="19"/>
  <c r="AI29" i="19"/>
  <c r="AJ29" i="19"/>
  <c r="AM24" i="21"/>
  <c r="V34" i="21"/>
  <c r="W34" i="21"/>
  <c r="X34" i="21" s="1"/>
  <c r="Y34" i="21" s="1"/>
  <c r="V50" i="21"/>
  <c r="W50" i="21"/>
  <c r="X50" i="21" s="1"/>
  <c r="Y50" i="21" s="1"/>
  <c r="W26" i="21"/>
  <c r="X32" i="21"/>
  <c r="Y32" i="21" s="1"/>
  <c r="X23" i="19"/>
  <c r="Y23" i="19" s="1"/>
  <c r="AB23" i="19" s="1"/>
  <c r="W42" i="21"/>
  <c r="V19" i="19"/>
  <c r="W19" i="19"/>
  <c r="Y52" i="19"/>
  <c r="Z52" i="19" s="1"/>
  <c r="X44" i="19"/>
  <c r="Y44" i="19" s="1"/>
  <c r="Z44" i="19" s="1"/>
  <c r="W19" i="21"/>
  <c r="V20" i="21"/>
  <c r="X20" i="21" s="1"/>
  <c r="V28" i="21"/>
  <c r="X28" i="21" s="1"/>
  <c r="V52" i="21"/>
  <c r="X52" i="21" s="1"/>
  <c r="AH20" i="19"/>
  <c r="V55" i="19"/>
  <c r="W55" i="19"/>
  <c r="V51" i="19"/>
  <c r="X51" i="19" s="1"/>
  <c r="W51" i="19"/>
  <c r="W28" i="19"/>
  <c r="X28" i="19" s="1"/>
  <c r="W30" i="19"/>
  <c r="X30" i="19" s="1"/>
  <c r="Y30" i="19" s="1"/>
  <c r="Z30" i="19" s="1"/>
  <c r="W38" i="19"/>
  <c r="X38" i="19" s="1"/>
  <c r="Y38" i="19" s="1"/>
  <c r="Z38" i="19" s="1"/>
  <c r="W44" i="19"/>
  <c r="X46" i="19"/>
  <c r="W46" i="19"/>
  <c r="Y46" i="19" s="1"/>
  <c r="X47" i="19"/>
  <c r="W32" i="21"/>
  <c r="AH10" i="21"/>
  <c r="AH14" i="21"/>
  <c r="V24" i="21"/>
  <c r="X24" i="21" s="1"/>
  <c r="Y24" i="21" s="1"/>
  <c r="V40" i="21"/>
  <c r="X40" i="21" s="1"/>
  <c r="Y40" i="21" s="1"/>
  <c r="AH12" i="19"/>
  <c r="AH18" i="19"/>
  <c r="AH24" i="19"/>
  <c r="AH33" i="19"/>
  <c r="W49" i="19"/>
  <c r="X49" i="19" s="1"/>
  <c r="Y49" i="19" s="1"/>
  <c r="V61" i="19"/>
  <c r="W61" i="19"/>
  <c r="V57" i="19"/>
  <c r="W57" i="19"/>
  <c r="AN9" i="21"/>
  <c r="AO9" i="21"/>
  <c r="AN8" i="19"/>
  <c r="AO8" i="19"/>
  <c r="AM51" i="19"/>
  <c r="AO12" i="21"/>
  <c r="AN12" i="21"/>
  <c r="AO20" i="21"/>
  <c r="AN20" i="21"/>
  <c r="AN12" i="19"/>
  <c r="AO11" i="19"/>
  <c r="AN11" i="19"/>
  <c r="AO12" i="19"/>
  <c r="AO15" i="19"/>
  <c r="AN15" i="19"/>
  <c r="AN24" i="19"/>
  <c r="AO23" i="19"/>
  <c r="AN23" i="19"/>
  <c r="AO24" i="19"/>
  <c r="AO27" i="19"/>
  <c r="AN27" i="19"/>
  <c r="AN32" i="19"/>
  <c r="AO31" i="19"/>
  <c r="AN31" i="19"/>
  <c r="AO32" i="19"/>
  <c r="AN48" i="19"/>
  <c r="AO47" i="19"/>
  <c r="AN47" i="19"/>
  <c r="AO48" i="19"/>
  <c r="AO55" i="19"/>
  <c r="AN55" i="19"/>
  <c r="AN11" i="21"/>
  <c r="AO10" i="21"/>
  <c r="AO11" i="21"/>
  <c r="AN10" i="21"/>
  <c r="AN19" i="21"/>
  <c r="AO19" i="21"/>
  <c r="AJ6" i="21"/>
  <c r="AI7" i="21"/>
  <c r="AJ7" i="21"/>
  <c r="AI6" i="21"/>
  <c r="AN14" i="19"/>
  <c r="AO13" i="19"/>
  <c r="AN13" i="19"/>
  <c r="AO14" i="19"/>
  <c r="AN18" i="19"/>
  <c r="AO18" i="19"/>
  <c r="AN22" i="19"/>
  <c r="AO21" i="19"/>
  <c r="AN21" i="19"/>
  <c r="AO22" i="19"/>
  <c r="AN26" i="19"/>
  <c r="AO25" i="19"/>
  <c r="AN25" i="19"/>
  <c r="AO26" i="19"/>
  <c r="AN30" i="19"/>
  <c r="AO30" i="19"/>
  <c r="AO33" i="19"/>
  <c r="AN33" i="19"/>
  <c r="AN50" i="19"/>
  <c r="AO49" i="19"/>
  <c r="AN49" i="19"/>
  <c r="AO50" i="19"/>
  <c r="AN54" i="19"/>
  <c r="AO53" i="19"/>
  <c r="AN53" i="19"/>
  <c r="AO54" i="19"/>
  <c r="AO61" i="19"/>
  <c r="AN61" i="19"/>
  <c r="AI7" i="19"/>
  <c r="AJ6" i="19"/>
  <c r="AI6" i="19"/>
  <c r="AJ7" i="19"/>
  <c r="AN8" i="21"/>
  <c r="AO8" i="21"/>
  <c r="AO16" i="21"/>
  <c r="AN16" i="21"/>
  <c r="AN20" i="19"/>
  <c r="AO19" i="19"/>
  <c r="AN19" i="19"/>
  <c r="AO20" i="19"/>
  <c r="Z40" i="21"/>
  <c r="AA40" i="21"/>
  <c r="AA53" i="19"/>
  <c r="Z53" i="19"/>
  <c r="AA24" i="21"/>
  <c r="Z49" i="19"/>
  <c r="V21" i="21"/>
  <c r="V29" i="21"/>
  <c r="V33" i="21"/>
  <c r="V37" i="21"/>
  <c r="V41" i="21"/>
  <c r="V45" i="21"/>
  <c r="V49" i="21"/>
  <c r="V53" i="21"/>
  <c r="AM13" i="21"/>
  <c r="AM21" i="21"/>
  <c r="X26" i="21"/>
  <c r="Y26" i="21" s="1"/>
  <c r="X42" i="21"/>
  <c r="Y42" i="21" s="1"/>
  <c r="W22" i="21"/>
  <c r="W30" i="21"/>
  <c r="W38" i="21"/>
  <c r="W46" i="21"/>
  <c r="W54" i="21"/>
  <c r="V23" i="21"/>
  <c r="V27" i="21"/>
  <c r="V31" i="21"/>
  <c r="V35" i="21"/>
  <c r="V39" i="21"/>
  <c r="V43" i="21"/>
  <c r="V47" i="21"/>
  <c r="V51" i="21"/>
  <c r="X19" i="19"/>
  <c r="AZ6" i="19"/>
  <c r="AX7" i="19"/>
  <c r="AY6" i="19"/>
  <c r="X19" i="21"/>
  <c r="Y19" i="21" s="1"/>
  <c r="AA19" i="21" s="1"/>
  <c r="X17" i="21"/>
  <c r="W25" i="21"/>
  <c r="W17" i="19"/>
  <c r="W21" i="19"/>
  <c r="Y26" i="19"/>
  <c r="Z26" i="19" s="1"/>
  <c r="Y32" i="19"/>
  <c r="Z32" i="19" s="1"/>
  <c r="Y34" i="19"/>
  <c r="Z34" i="19" s="1"/>
  <c r="AA36" i="19"/>
  <c r="Y36" i="19"/>
  <c r="Z36" i="19" s="1"/>
  <c r="Y40" i="19"/>
  <c r="Z40" i="19" s="1"/>
  <c r="X18" i="21"/>
  <c r="Y28" i="21"/>
  <c r="AB28" i="21" s="1"/>
  <c r="Y36" i="21"/>
  <c r="Y44" i="21"/>
  <c r="Y48" i="21"/>
  <c r="AM16" i="19"/>
  <c r="AM34" i="19"/>
  <c r="AM56" i="19"/>
  <c r="AM62" i="19"/>
  <c r="V24" i="19"/>
  <c r="W24" i="19"/>
  <c r="V20" i="19"/>
  <c r="W20" i="19"/>
  <c r="Y42" i="19"/>
  <c r="Z42" i="19" s="1"/>
  <c r="Y51" i="19"/>
  <c r="AB51" i="19" s="1"/>
  <c r="Y58" i="19"/>
  <c r="AB58" i="19" s="1"/>
  <c r="X63" i="19"/>
  <c r="Y56" i="19"/>
  <c r="Z56" i="19" s="1"/>
  <c r="W62" i="19"/>
  <c r="AM17" i="21"/>
  <c r="X30" i="21"/>
  <c r="X46" i="21"/>
  <c r="AB40" i="21"/>
  <c r="AC40" i="21" s="1"/>
  <c r="V25" i="19"/>
  <c r="W25" i="19"/>
  <c r="V27" i="19"/>
  <c r="W27" i="19"/>
  <c r="V29" i="19"/>
  <c r="W29" i="19"/>
  <c r="V31" i="19"/>
  <c r="W31" i="19"/>
  <c r="V33" i="19"/>
  <c r="W33" i="19"/>
  <c r="V35" i="19"/>
  <c r="W35" i="19"/>
  <c r="V37" i="19"/>
  <c r="W37" i="19"/>
  <c r="V39" i="19"/>
  <c r="W39" i="19"/>
  <c r="V41" i="19"/>
  <c r="W41" i="19"/>
  <c r="V43" i="19"/>
  <c r="W43" i="19"/>
  <c r="V45" i="19"/>
  <c r="W45" i="19"/>
  <c r="AB52" i="19"/>
  <c r="AB54" i="19"/>
  <c r="AB49" i="19"/>
  <c r="Y54" i="19"/>
  <c r="Z54" i="19" s="1"/>
  <c r="Y18" i="21"/>
  <c r="Z18" i="21" s="1"/>
  <c r="AM28" i="19"/>
  <c r="AM44" i="19"/>
  <c r="V22" i="19"/>
  <c r="W22" i="19"/>
  <c r="V18" i="19"/>
  <c r="W18" i="19"/>
  <c r="AB53" i="19"/>
  <c r="AC53" i="19" s="1"/>
  <c r="Y50" i="19"/>
  <c r="Z50" i="19" s="1"/>
  <c r="Y47" i="19"/>
  <c r="AB47" i="19" s="1"/>
  <c r="Y48" i="19"/>
  <c r="Z48" i="19" s="1"/>
  <c r="AA58" i="19"/>
  <c r="Y59" i="19"/>
  <c r="AB59" i="19" s="1"/>
  <c r="X62" i="19"/>
  <c r="Y60" i="19"/>
  <c r="AA60" i="19" s="1"/>
  <c r="AG18" i="19"/>
  <c r="AL6" i="21"/>
  <c r="AL9" i="19"/>
  <c r="AL28" i="19"/>
  <c r="AL23" i="21"/>
  <c r="AL51" i="19"/>
  <c r="AL21" i="21"/>
  <c r="AL17" i="21"/>
  <c r="AL16" i="19"/>
  <c r="AL62" i="19"/>
  <c r="AO23" i="21" l="1"/>
  <c r="AN23" i="21"/>
  <c r="AI19" i="19"/>
  <c r="AJ18" i="19"/>
  <c r="AI18" i="19"/>
  <c r="AJ19" i="19"/>
  <c r="Z46" i="19"/>
  <c r="AA46" i="19"/>
  <c r="AB46" i="19"/>
  <c r="AC46" i="19" s="1"/>
  <c r="AA50" i="21"/>
  <c r="Z50" i="21"/>
  <c r="AA34" i="21"/>
  <c r="Z34" i="21"/>
  <c r="AC52" i="19"/>
  <c r="AH25" i="19"/>
  <c r="AH13" i="19"/>
  <c r="AH11" i="21"/>
  <c r="X55" i="19"/>
  <c r="Y55" i="19"/>
  <c r="AA55" i="19" s="1"/>
  <c r="AA56" i="19"/>
  <c r="AB56" i="19"/>
  <c r="AC56" i="19" s="1"/>
  <c r="AA52" i="19"/>
  <c r="AB48" i="19"/>
  <c r="AC48" i="19" s="1"/>
  <c r="AB24" i="21"/>
  <c r="Y62" i="19"/>
  <c r="Z62" i="19" s="1"/>
  <c r="Z58" i="19"/>
  <c r="AC58" i="19" s="1"/>
  <c r="Y52" i="21"/>
  <c r="AB52" i="21" s="1"/>
  <c r="Y20" i="21"/>
  <c r="AB20" i="21" s="1"/>
  <c r="Z55" i="19"/>
  <c r="AA40" i="19"/>
  <c r="AA32" i="19"/>
  <c r="Y28" i="19"/>
  <c r="AA49" i="19"/>
  <c r="AC49" i="19" s="1"/>
  <c r="Z24" i="21"/>
  <c r="X57" i="19"/>
  <c r="Y57" i="19" s="1"/>
  <c r="Y61" i="19"/>
  <c r="X61" i="19"/>
  <c r="AH34" i="19"/>
  <c r="AH15" i="21"/>
  <c r="AH21" i="19"/>
  <c r="AM25" i="21"/>
  <c r="AO51" i="19"/>
  <c r="AO52" i="19"/>
  <c r="AN52" i="19"/>
  <c r="AN51" i="19"/>
  <c r="AN29" i="19"/>
  <c r="AO28" i="19"/>
  <c r="AN28" i="19"/>
  <c r="AO29" i="19"/>
  <c r="AO17" i="21"/>
  <c r="AN18" i="21"/>
  <c r="AN17" i="21"/>
  <c r="AO18" i="21"/>
  <c r="AN17" i="19"/>
  <c r="AO16" i="19"/>
  <c r="AN16" i="19"/>
  <c r="AO17" i="19"/>
  <c r="AN7" i="21"/>
  <c r="AO6" i="21"/>
  <c r="AN6" i="21"/>
  <c r="AO7" i="21"/>
  <c r="AN63" i="19"/>
  <c r="AO62" i="19"/>
  <c r="AN62" i="19"/>
  <c r="AO63" i="19"/>
  <c r="AN10" i="19"/>
  <c r="AO9" i="19"/>
  <c r="AN9" i="19"/>
  <c r="AO10" i="19"/>
  <c r="AO21" i="21"/>
  <c r="AN22" i="21"/>
  <c r="AO22" i="21"/>
  <c r="AN21" i="21"/>
  <c r="Z42" i="21"/>
  <c r="AA42" i="21"/>
  <c r="Z26" i="21"/>
  <c r="AA26" i="21"/>
  <c r="Z57" i="19"/>
  <c r="AA57" i="19"/>
  <c r="AB62" i="19"/>
  <c r="AM45" i="19"/>
  <c r="AB50" i="19"/>
  <c r="X45" i="19"/>
  <c r="Y45" i="19" s="1"/>
  <c r="X43" i="19"/>
  <c r="Y43" i="19" s="1"/>
  <c r="Y39" i="19"/>
  <c r="Z39" i="19" s="1"/>
  <c r="X39" i="19"/>
  <c r="X35" i="19"/>
  <c r="Y35" i="19" s="1"/>
  <c r="X31" i="19"/>
  <c r="Y31" i="19" s="1"/>
  <c r="Z31" i="19" s="1"/>
  <c r="X29" i="19"/>
  <c r="Y29" i="19" s="1"/>
  <c r="Y25" i="19"/>
  <c r="Z25" i="19" s="1"/>
  <c r="X25" i="19"/>
  <c r="AM35" i="19"/>
  <c r="Z44" i="21"/>
  <c r="AA44" i="21"/>
  <c r="Z32" i="21"/>
  <c r="AA32" i="21"/>
  <c r="AB42" i="19"/>
  <c r="AB38" i="19"/>
  <c r="AB34" i="19"/>
  <c r="AB30" i="19"/>
  <c r="AB26" i="19"/>
  <c r="Z60" i="19"/>
  <c r="AB57" i="19"/>
  <c r="Z47" i="19"/>
  <c r="Z23" i="19"/>
  <c r="X18" i="19"/>
  <c r="Y18" i="19" s="1"/>
  <c r="X22" i="19"/>
  <c r="Y22" i="19" s="1"/>
  <c r="AA22" i="19" s="1"/>
  <c r="AB60" i="19"/>
  <c r="AA54" i="19"/>
  <c r="AA50" i="19"/>
  <c r="AA48" i="19"/>
  <c r="AA25" i="19"/>
  <c r="Y46" i="21"/>
  <c r="Z46" i="21" s="1"/>
  <c r="AA51" i="19"/>
  <c r="Z51" i="19"/>
  <c r="AA47" i="19"/>
  <c r="AC47" i="19" s="1"/>
  <c r="AA23" i="19"/>
  <c r="AC23" i="19" s="1"/>
  <c r="X20" i="19"/>
  <c r="Y20" i="19" s="1"/>
  <c r="Y24" i="19"/>
  <c r="AA24" i="19" s="1"/>
  <c r="X24" i="19"/>
  <c r="AM57" i="19"/>
  <c r="Z48" i="21"/>
  <c r="AA48" i="21"/>
  <c r="Z36" i="21"/>
  <c r="AA36" i="21"/>
  <c r="Z28" i="21"/>
  <c r="AA28" i="21"/>
  <c r="AC28" i="21" s="1"/>
  <c r="AB18" i="21"/>
  <c r="AA44" i="19"/>
  <c r="AA42" i="19"/>
  <c r="AB40" i="19"/>
  <c r="AC40" i="19" s="1"/>
  <c r="AA38" i="19"/>
  <c r="AB36" i="19"/>
  <c r="AC36" i="19" s="1"/>
  <c r="AA34" i="19"/>
  <c r="AB32" i="19"/>
  <c r="AC32" i="19" s="1"/>
  <c r="AA30" i="19"/>
  <c r="AB28" i="19"/>
  <c r="AA26" i="19"/>
  <c r="AB19" i="21"/>
  <c r="AZ7" i="19"/>
  <c r="AY7" i="19"/>
  <c r="AX8" i="19"/>
  <c r="Y19" i="19"/>
  <c r="AB19" i="19" s="1"/>
  <c r="X47" i="21"/>
  <c r="Y47" i="21" s="1"/>
  <c r="Y39" i="21"/>
  <c r="AA39" i="21" s="1"/>
  <c r="X39" i="21"/>
  <c r="X31" i="21"/>
  <c r="Y31" i="21" s="1"/>
  <c r="X23" i="21"/>
  <c r="Y23" i="21" s="1"/>
  <c r="AA23" i="21" s="1"/>
  <c r="Z19" i="21"/>
  <c r="AA46" i="21"/>
  <c r="AB36" i="21"/>
  <c r="AB50" i="21"/>
  <c r="AC50" i="21" s="1"/>
  <c r="AB34" i="21"/>
  <c r="AM14" i="21"/>
  <c r="X21" i="19"/>
  <c r="Y21" i="19" s="1"/>
  <c r="X49" i="21"/>
  <c r="Y49" i="21" s="1"/>
  <c r="X41" i="21"/>
  <c r="Y41" i="21" s="1"/>
  <c r="AA41" i="21" s="1"/>
  <c r="X33" i="21"/>
  <c r="Y33" i="21" s="1"/>
  <c r="Y21" i="21"/>
  <c r="AA21" i="21" s="1"/>
  <c r="X21" i="21"/>
  <c r="AB48" i="21"/>
  <c r="AC48" i="21" s="1"/>
  <c r="X54" i="21"/>
  <c r="X22" i="21"/>
  <c r="Y22" i="21" s="1"/>
  <c r="X25" i="21"/>
  <c r="AA59" i="19"/>
  <c r="Z59" i="19"/>
  <c r="AC54" i="19"/>
  <c r="Y41" i="19"/>
  <c r="AA41" i="19" s="1"/>
  <c r="X41" i="19"/>
  <c r="X37" i="19"/>
  <c r="Y37" i="19" s="1"/>
  <c r="X33" i="19"/>
  <c r="Y33" i="19" s="1"/>
  <c r="AA33" i="19" s="1"/>
  <c r="X27" i="19"/>
  <c r="Y27" i="19" s="1"/>
  <c r="Y30" i="21"/>
  <c r="Z30" i="21" s="1"/>
  <c r="Y63" i="19"/>
  <c r="AA52" i="21"/>
  <c r="Z20" i="21"/>
  <c r="AA20" i="21"/>
  <c r="AC20" i="21" s="1"/>
  <c r="AB44" i="19"/>
  <c r="Y51" i="21"/>
  <c r="AA51" i="21" s="1"/>
  <c r="X51" i="21"/>
  <c r="X43" i="21"/>
  <c r="Y43" i="21" s="1"/>
  <c r="X35" i="21"/>
  <c r="Y35" i="21" s="1"/>
  <c r="AA35" i="21" s="1"/>
  <c r="X27" i="21"/>
  <c r="Y27" i="21" s="1"/>
  <c r="AB44" i="21"/>
  <c r="AC44" i="21" s="1"/>
  <c r="AB42" i="21"/>
  <c r="AC42" i="21" s="1"/>
  <c r="AB26" i="21"/>
  <c r="X17" i="19"/>
  <c r="X53" i="21"/>
  <c r="Y53" i="21" s="1"/>
  <c r="Y45" i="21"/>
  <c r="AA45" i="21" s="1"/>
  <c r="X45" i="21"/>
  <c r="X37" i="21"/>
  <c r="Y37" i="21" s="1"/>
  <c r="X29" i="21"/>
  <c r="Y29" i="21" s="1"/>
  <c r="AA29" i="21" s="1"/>
  <c r="Y17" i="21"/>
  <c r="AB17" i="21" s="1"/>
  <c r="AA18" i="21"/>
  <c r="AB32" i="21"/>
  <c r="X38" i="21"/>
  <c r="Y38" i="21" s="1"/>
  <c r="Z38" i="21" s="1"/>
  <c r="Y25" i="21"/>
  <c r="Z25" i="21" s="1"/>
  <c r="AG24" i="19"/>
  <c r="AG12" i="19"/>
  <c r="AG21" i="19"/>
  <c r="AL24" i="21"/>
  <c r="AL44" i="19"/>
  <c r="AL34" i="19"/>
  <c r="AL45" i="19"/>
  <c r="AG10" i="21"/>
  <c r="AG33" i="19"/>
  <c r="AG14" i="21"/>
  <c r="AG20" i="19"/>
  <c r="AL13" i="21"/>
  <c r="AL56" i="19"/>
  <c r="AI21" i="19" l="1"/>
  <c r="AJ20" i="19"/>
  <c r="AI20" i="19"/>
  <c r="AJ14" i="21"/>
  <c r="AI14" i="21"/>
  <c r="AJ33" i="19"/>
  <c r="AI33" i="19"/>
  <c r="AJ10" i="21"/>
  <c r="AI10" i="21"/>
  <c r="AO24" i="21"/>
  <c r="AN24" i="21"/>
  <c r="AI22" i="19"/>
  <c r="AJ22" i="19"/>
  <c r="AJ21" i="19"/>
  <c r="AJ12" i="19"/>
  <c r="AI12" i="19"/>
  <c r="AJ24" i="19"/>
  <c r="AI24" i="19"/>
  <c r="Z45" i="19"/>
  <c r="AA45" i="19"/>
  <c r="AM26" i="21"/>
  <c r="Z61" i="19"/>
  <c r="AA61" i="19"/>
  <c r="AH14" i="19"/>
  <c r="AH26" i="19"/>
  <c r="AC32" i="21"/>
  <c r="AC26" i="21"/>
  <c r="AC44" i="19"/>
  <c r="Z52" i="21"/>
  <c r="AC52" i="21" s="1"/>
  <c r="AA62" i="19"/>
  <c r="AC59" i="19"/>
  <c r="AC34" i="21"/>
  <c r="AC36" i="21"/>
  <c r="AC51" i="19"/>
  <c r="AC60" i="19"/>
  <c r="AC57" i="19"/>
  <c r="AH16" i="21"/>
  <c r="AH35" i="19"/>
  <c r="AB61" i="19"/>
  <c r="AC61" i="19" s="1"/>
  <c r="Z28" i="19"/>
  <c r="AA28" i="19"/>
  <c r="AC28" i="19" s="1"/>
  <c r="AC24" i="21"/>
  <c r="AB55" i="19"/>
  <c r="AC55" i="19" s="1"/>
  <c r="AH12" i="21"/>
  <c r="AO34" i="19"/>
  <c r="AN34" i="19"/>
  <c r="AN46" i="19"/>
  <c r="AO45" i="19"/>
  <c r="AO46" i="19"/>
  <c r="AO13" i="21"/>
  <c r="AN13" i="21"/>
  <c r="AO56" i="19"/>
  <c r="AN56" i="19"/>
  <c r="AN45" i="19"/>
  <c r="AO44" i="19"/>
  <c r="AN44" i="19"/>
  <c r="AA37" i="21"/>
  <c r="Z37" i="21"/>
  <c r="AA43" i="21"/>
  <c r="Z43" i="21"/>
  <c r="AA37" i="19"/>
  <c r="Z37" i="19"/>
  <c r="AA53" i="21"/>
  <c r="Z53" i="21"/>
  <c r="AA27" i="21"/>
  <c r="Z27" i="21"/>
  <c r="Z27" i="19"/>
  <c r="AA27" i="19"/>
  <c r="AA33" i="21"/>
  <c r="Z33" i="21"/>
  <c r="Z21" i="19"/>
  <c r="AA21" i="19"/>
  <c r="AA47" i="21"/>
  <c r="Z47" i="21"/>
  <c r="Z20" i="19"/>
  <c r="AA20" i="19"/>
  <c r="Z29" i="19"/>
  <c r="AA29" i="19"/>
  <c r="Z43" i="19"/>
  <c r="AA43" i="19"/>
  <c r="Z22" i="21"/>
  <c r="AA22" i="21"/>
  <c r="AA49" i="21"/>
  <c r="Z49" i="21"/>
  <c r="AA31" i="21"/>
  <c r="Z31" i="21"/>
  <c r="Z18" i="19"/>
  <c r="AA18" i="19"/>
  <c r="Z35" i="19"/>
  <c r="AA35" i="19"/>
  <c r="AB38" i="21"/>
  <c r="AB29" i="21"/>
  <c r="AC29" i="21" s="1"/>
  <c r="Z29" i="21"/>
  <c r="AB45" i="21"/>
  <c r="AC45" i="21" s="1"/>
  <c r="Z45" i="21"/>
  <c r="Y17" i="19"/>
  <c r="AB35" i="21"/>
  <c r="Z35" i="21"/>
  <c r="AB51" i="21"/>
  <c r="Z51" i="21"/>
  <c r="Z63" i="19"/>
  <c r="AA63" i="19"/>
  <c r="AB33" i="19"/>
  <c r="Z33" i="19"/>
  <c r="AB41" i="19"/>
  <c r="Z41" i="19"/>
  <c r="AB25" i="21"/>
  <c r="AB21" i="21"/>
  <c r="Z21" i="21"/>
  <c r="AB41" i="21"/>
  <c r="Z41" i="21"/>
  <c r="AB23" i="21"/>
  <c r="Z23" i="21"/>
  <c r="AB39" i="21"/>
  <c r="Z39" i="21"/>
  <c r="AC19" i="21"/>
  <c r="AM58" i="19"/>
  <c r="AB24" i="19"/>
  <c r="AC24" i="19" s="1"/>
  <c r="Z24" i="19"/>
  <c r="AB46" i="21"/>
  <c r="AC46" i="21" s="1"/>
  <c r="AA31" i="19"/>
  <c r="AA39" i="19"/>
  <c r="AB22" i="19"/>
  <c r="Z22" i="19"/>
  <c r="AC26" i="19"/>
  <c r="AC34" i="19"/>
  <c r="AC42" i="19"/>
  <c r="AB63" i="19"/>
  <c r="AC63" i="19" s="1"/>
  <c r="AB25" i="19"/>
  <c r="AC25" i="19" s="1"/>
  <c r="AB31" i="19"/>
  <c r="AC31" i="19" s="1"/>
  <c r="AB39" i="19"/>
  <c r="AB45" i="19"/>
  <c r="AC45" i="19" s="1"/>
  <c r="Z17" i="21"/>
  <c r="AA17" i="21"/>
  <c r="AC17" i="21" s="1"/>
  <c r="AB37" i="21"/>
  <c r="AB53" i="21"/>
  <c r="AC53" i="21" s="1"/>
  <c r="AA38" i="21"/>
  <c r="AB27" i="21"/>
  <c r="AC27" i="21" s="1"/>
  <c r="AB43" i="21"/>
  <c r="AB27" i="19"/>
  <c r="AC27" i="19" s="1"/>
  <c r="AB37" i="19"/>
  <c r="AB22" i="21"/>
  <c r="AC22" i="21" s="1"/>
  <c r="AB33" i="21"/>
  <c r="AB49" i="21"/>
  <c r="AC49" i="21" s="1"/>
  <c r="AB21" i="19"/>
  <c r="AA30" i="21"/>
  <c r="AB31" i="21"/>
  <c r="AB47" i="21"/>
  <c r="AC47" i="21" s="1"/>
  <c r="Z19" i="19"/>
  <c r="AA19" i="19"/>
  <c r="AC19" i="19" s="1"/>
  <c r="AY8" i="19"/>
  <c r="AX9" i="19"/>
  <c r="AZ8" i="19"/>
  <c r="AA25" i="21"/>
  <c r="AC18" i="21"/>
  <c r="AB20" i="19"/>
  <c r="AC20" i="19" s="1"/>
  <c r="AB18" i="19"/>
  <c r="AC30" i="19"/>
  <c r="AC38" i="19"/>
  <c r="AM36" i="19"/>
  <c r="AB30" i="21"/>
  <c r="AB29" i="19"/>
  <c r="AC29" i="19" s="1"/>
  <c r="AB35" i="19"/>
  <c r="AB43" i="19"/>
  <c r="AC43" i="19" s="1"/>
  <c r="AC50" i="19"/>
  <c r="AC62" i="19"/>
  <c r="Y54" i="21"/>
  <c r="AL25" i="21"/>
  <c r="AG13" i="19"/>
  <c r="AG25" i="19"/>
  <c r="AG11" i="21"/>
  <c r="AL14" i="21"/>
  <c r="AG26" i="19"/>
  <c r="AG15" i="21"/>
  <c r="AG34" i="19"/>
  <c r="AL57" i="19"/>
  <c r="AL35" i="19"/>
  <c r="AJ34" i="19" l="1"/>
  <c r="AI34" i="19"/>
  <c r="AJ15" i="21"/>
  <c r="AI15" i="21"/>
  <c r="AI27" i="19"/>
  <c r="AJ26" i="19"/>
  <c r="AJ27" i="19"/>
  <c r="AJ11" i="21"/>
  <c r="AI11" i="21"/>
  <c r="AI26" i="19"/>
  <c r="AJ25" i="19"/>
  <c r="AI25" i="19"/>
  <c r="AJ13" i="19"/>
  <c r="AI13" i="19"/>
  <c r="AO25" i="21"/>
  <c r="AN25" i="21"/>
  <c r="AH15" i="19"/>
  <c r="AM27" i="21"/>
  <c r="AC35" i="19"/>
  <c r="AC30" i="21"/>
  <c r="AC18" i="19"/>
  <c r="AC31" i="21"/>
  <c r="AC21" i="19"/>
  <c r="AC33" i="21"/>
  <c r="AC37" i="19"/>
  <c r="AC43" i="21"/>
  <c r="AC37" i="21"/>
  <c r="AH36" i="19"/>
  <c r="AH17" i="21"/>
  <c r="AN15" i="21"/>
  <c r="AO14" i="21"/>
  <c r="AO15" i="21"/>
  <c r="AN14" i="21"/>
  <c r="AO35" i="19"/>
  <c r="AN35" i="19"/>
  <c r="AO57" i="19"/>
  <c r="AN57" i="19"/>
  <c r="AM37" i="19"/>
  <c r="AC39" i="19"/>
  <c r="AC22" i="19"/>
  <c r="AM59" i="19"/>
  <c r="AC39" i="21"/>
  <c r="AC23" i="21"/>
  <c r="AC41" i="21"/>
  <c r="AC21" i="21"/>
  <c r="AC25" i="21"/>
  <c r="AC41" i="19"/>
  <c r="AC33" i="19"/>
  <c r="AC51" i="21"/>
  <c r="AC35" i="21"/>
  <c r="AC38" i="21"/>
  <c r="Z54" i="21"/>
  <c r="AA54" i="21"/>
  <c r="AZ9" i="19"/>
  <c r="AY9" i="19"/>
  <c r="AX10" i="19"/>
  <c r="AB54" i="21"/>
  <c r="Z17" i="19"/>
  <c r="AA17" i="19"/>
  <c r="AB17" i="19"/>
  <c r="AG15" i="19"/>
  <c r="AL26" i="21"/>
  <c r="AL36" i="19"/>
  <c r="AL59" i="19"/>
  <c r="AG12" i="21"/>
  <c r="AG14" i="19"/>
  <c r="AG35" i="19"/>
  <c r="AG16" i="21"/>
  <c r="AL58" i="19"/>
  <c r="AJ16" i="21" l="1"/>
  <c r="AI16" i="21"/>
  <c r="AJ35" i="19"/>
  <c r="AI35" i="19"/>
  <c r="AJ14" i="19"/>
  <c r="AI15" i="19"/>
  <c r="AI14" i="19"/>
  <c r="AJ12" i="21"/>
  <c r="AI13" i="21"/>
  <c r="AJ13" i="21"/>
  <c r="AI12" i="21"/>
  <c r="AO26" i="21"/>
  <c r="AN26" i="21"/>
  <c r="AJ16" i="19"/>
  <c r="AI16" i="19"/>
  <c r="AJ15" i="19"/>
  <c r="AM28" i="21"/>
  <c r="AC17" i="19"/>
  <c r="AC54" i="21"/>
  <c r="AH18" i="21"/>
  <c r="AH37" i="19"/>
  <c r="AN60" i="19"/>
  <c r="AO59" i="19"/>
  <c r="AO60" i="19"/>
  <c r="AO36" i="19"/>
  <c r="AN36" i="19"/>
  <c r="AN59" i="19"/>
  <c r="AO58" i="19"/>
  <c r="AN58" i="19"/>
  <c r="AY10" i="19"/>
  <c r="AX11" i="19"/>
  <c r="AZ10" i="19"/>
  <c r="AM38" i="19"/>
  <c r="AL27" i="21"/>
  <c r="AG17" i="21"/>
  <c r="AG36" i="19"/>
  <c r="AL37" i="19"/>
  <c r="AJ36" i="19" l="1"/>
  <c r="AI36" i="19"/>
  <c r="AJ17" i="21"/>
  <c r="AI17" i="21"/>
  <c r="AO27" i="21"/>
  <c r="AN27" i="21"/>
  <c r="AH38" i="19"/>
  <c r="AH19" i="21"/>
  <c r="AM29" i="21"/>
  <c r="AO37" i="19"/>
  <c r="AN37" i="19"/>
  <c r="AM39" i="19"/>
  <c r="AZ11" i="19"/>
  <c r="AY11" i="19"/>
  <c r="AX12" i="19"/>
  <c r="AL28" i="21"/>
  <c r="AL38" i="19"/>
  <c r="AG37" i="19"/>
  <c r="AG18" i="21"/>
  <c r="AJ18" i="21" l="1"/>
  <c r="AI18" i="21"/>
  <c r="AJ37" i="19"/>
  <c r="AI37" i="19"/>
  <c r="AO28" i="21"/>
  <c r="AN28" i="21"/>
  <c r="AM30" i="21"/>
  <c r="AH20" i="21"/>
  <c r="AH39" i="19"/>
  <c r="AO38" i="19"/>
  <c r="AN38" i="19"/>
  <c r="AY12" i="19"/>
  <c r="AZ12" i="19"/>
  <c r="AX13" i="19"/>
  <c r="AM40" i="19"/>
  <c r="AG38" i="19"/>
  <c r="AL39" i="19"/>
  <c r="AL29" i="21"/>
  <c r="AG19" i="21"/>
  <c r="AJ19" i="21" l="1"/>
  <c r="AI19" i="21"/>
  <c r="AO29" i="21"/>
  <c r="AN29" i="21"/>
  <c r="AJ38" i="19"/>
  <c r="AI38" i="19"/>
  <c r="AH40" i="19"/>
  <c r="AH21" i="21"/>
  <c r="AM31" i="21"/>
  <c r="AO39" i="19"/>
  <c r="AN39" i="19"/>
  <c r="AM41" i="19"/>
  <c r="AY13" i="19"/>
  <c r="AX14" i="19"/>
  <c r="AZ13" i="19"/>
  <c r="AL30" i="21"/>
  <c r="AG39" i="19"/>
  <c r="AG20" i="21"/>
  <c r="AL40" i="19"/>
  <c r="AJ20" i="21" l="1"/>
  <c r="AI20" i="21"/>
  <c r="AJ39" i="19"/>
  <c r="AI39" i="19"/>
  <c r="AO30" i="21"/>
  <c r="AN30" i="21"/>
  <c r="AM32" i="21"/>
  <c r="AH22" i="21"/>
  <c r="AH41" i="19"/>
  <c r="AO40" i="19"/>
  <c r="AN40" i="19"/>
  <c r="AZ14" i="19"/>
  <c r="AY14" i="19"/>
  <c r="AX15" i="19"/>
  <c r="AM42" i="19"/>
  <c r="AL31" i="21"/>
  <c r="AG40" i="19"/>
  <c r="AG21" i="21"/>
  <c r="AL41" i="19"/>
  <c r="AJ21" i="21" l="1"/>
  <c r="AI21" i="21"/>
  <c r="AJ40" i="19"/>
  <c r="AI40" i="19"/>
  <c r="AO31" i="21"/>
  <c r="AN31" i="21"/>
  <c r="AH42" i="19"/>
  <c r="AM33" i="21"/>
  <c r="AH23" i="21"/>
  <c r="AO41" i="19"/>
  <c r="AN41" i="19"/>
  <c r="AM2" i="19"/>
  <c r="AY15" i="19"/>
  <c r="AX16" i="19"/>
  <c r="AZ15" i="19"/>
  <c r="AL32" i="21"/>
  <c r="AG41" i="19"/>
  <c r="AG22" i="21"/>
  <c r="AL42" i="19"/>
  <c r="AJ22" i="21" l="1"/>
  <c r="AI22" i="21"/>
  <c r="AJ41" i="19"/>
  <c r="AI41" i="19"/>
  <c r="AO32" i="21"/>
  <c r="AN32" i="21"/>
  <c r="AM34" i="21"/>
  <c r="AH24" i="21"/>
  <c r="AH43" i="19"/>
  <c r="AN43" i="19"/>
  <c r="AO42" i="19"/>
  <c r="AO43" i="19"/>
  <c r="AN42" i="19"/>
  <c r="AZ16" i="19"/>
  <c r="AX17" i="19"/>
  <c r="AY16" i="19"/>
  <c r="AL33" i="21"/>
  <c r="AG23" i="21"/>
  <c r="AG42" i="19"/>
  <c r="AJ42" i="19" l="1"/>
  <c r="AI42" i="19"/>
  <c r="AJ23" i="21"/>
  <c r="AI23" i="21"/>
  <c r="AO33" i="21"/>
  <c r="AN33" i="21"/>
  <c r="AH44" i="19"/>
  <c r="AH25" i="21"/>
  <c r="AM35" i="21"/>
  <c r="AO2" i="19"/>
  <c r="AN2" i="19"/>
  <c r="AY17" i="19"/>
  <c r="AX18" i="19"/>
  <c r="AZ17" i="19"/>
  <c r="AL34" i="21"/>
  <c r="AG43" i="19"/>
  <c r="AG24" i="21"/>
  <c r="AJ24" i="21" l="1"/>
  <c r="AI24" i="21"/>
  <c r="AJ43" i="19"/>
  <c r="AI43" i="19"/>
  <c r="AO34" i="21"/>
  <c r="AN34" i="21"/>
  <c r="AM36" i="21"/>
  <c r="AH26" i="21"/>
  <c r="AH45" i="19"/>
  <c r="AZ18" i="19"/>
  <c r="AX19" i="19"/>
  <c r="AY18" i="19"/>
  <c r="AL35" i="21"/>
  <c r="AG25" i="21"/>
  <c r="AG44" i="19"/>
  <c r="AJ44" i="19" l="1"/>
  <c r="AI44" i="19"/>
  <c r="AJ25" i="21"/>
  <c r="AI25" i="21"/>
  <c r="AO35" i="21"/>
  <c r="AN35" i="21"/>
  <c r="AM37" i="21"/>
  <c r="AH46" i="19"/>
  <c r="AH27" i="21"/>
  <c r="AY19" i="19"/>
  <c r="AX20" i="19"/>
  <c r="AZ19" i="19"/>
  <c r="AL36" i="21"/>
  <c r="AG45" i="19"/>
  <c r="AG26" i="21"/>
  <c r="AJ26" i="21" l="1"/>
  <c r="AI26" i="21"/>
  <c r="AJ45" i="19"/>
  <c r="AI45" i="19"/>
  <c r="AO36" i="21"/>
  <c r="AN36" i="21"/>
  <c r="AM38" i="21"/>
  <c r="AH28" i="21"/>
  <c r="AH47" i="19"/>
  <c r="AZ20" i="19"/>
  <c r="AX21" i="19"/>
  <c r="AY20" i="19"/>
  <c r="AL37" i="21"/>
  <c r="AG27" i="21"/>
  <c r="AG46" i="19"/>
  <c r="AJ46" i="19" l="1"/>
  <c r="AI46" i="19"/>
  <c r="AJ27" i="21"/>
  <c r="AI27" i="21"/>
  <c r="AO37" i="21"/>
  <c r="AN37" i="21"/>
  <c r="AM39" i="21"/>
  <c r="AH48" i="19"/>
  <c r="AH29" i="21"/>
  <c r="AY21" i="19"/>
  <c r="AZ21" i="19"/>
  <c r="AL38" i="21"/>
  <c r="AG47" i="19"/>
  <c r="AG28" i="21"/>
  <c r="AJ28" i="21" l="1"/>
  <c r="AI28" i="21"/>
  <c r="AJ47" i="19"/>
  <c r="AI47" i="19"/>
  <c r="AO38" i="21"/>
  <c r="AN38" i="21"/>
  <c r="AM40" i="21"/>
  <c r="AH30" i="21"/>
  <c r="AH49" i="19"/>
  <c r="AL39" i="21"/>
  <c r="AG29" i="21"/>
  <c r="AG48" i="19"/>
  <c r="AJ48" i="19" l="1"/>
  <c r="AI48" i="19"/>
  <c r="AJ29" i="21"/>
  <c r="AI29" i="21"/>
  <c r="AO39" i="21"/>
  <c r="AN39" i="21"/>
  <c r="AM41" i="21"/>
  <c r="AH50" i="19"/>
  <c r="AH31" i="21"/>
  <c r="AL40" i="21"/>
  <c r="AG49" i="19"/>
  <c r="AG30" i="21"/>
  <c r="AJ30" i="21" l="1"/>
  <c r="AI30" i="21"/>
  <c r="AJ49" i="19"/>
  <c r="AI49" i="19"/>
  <c r="AO40" i="21"/>
  <c r="AN40" i="21"/>
  <c r="AH32" i="21"/>
  <c r="AH51" i="19"/>
  <c r="AM42" i="21"/>
  <c r="AG31" i="21"/>
  <c r="AG50" i="19"/>
  <c r="AL41" i="21"/>
  <c r="AO41" i="21" l="1"/>
  <c r="AN41" i="21"/>
  <c r="AJ50" i="19"/>
  <c r="AI50" i="19"/>
  <c r="AJ31" i="21"/>
  <c r="AI31" i="21"/>
  <c r="AM43" i="21"/>
  <c r="AH52" i="19"/>
  <c r="AH33" i="21"/>
  <c r="AL42" i="21"/>
  <c r="AG51" i="19"/>
  <c r="AG32" i="21"/>
  <c r="AJ32" i="21" l="1"/>
  <c r="AI32" i="21"/>
  <c r="AJ51" i="19"/>
  <c r="AI51" i="19"/>
  <c r="AO42" i="21"/>
  <c r="AN42" i="21"/>
  <c r="AH34" i="21"/>
  <c r="AH53" i="19"/>
  <c r="AM44" i="21"/>
  <c r="AG33" i="21"/>
  <c r="AG52" i="19"/>
  <c r="AL43" i="21"/>
  <c r="AO43" i="21" l="1"/>
  <c r="AN43" i="21"/>
  <c r="AJ52" i="19"/>
  <c r="AI52" i="19"/>
  <c r="AJ33" i="21"/>
  <c r="AI33" i="21"/>
  <c r="AM45" i="21"/>
  <c r="AH54" i="19"/>
  <c r="AH35" i="21"/>
  <c r="AL44" i="21"/>
  <c r="AG53" i="19"/>
  <c r="AG34" i="21"/>
  <c r="AJ34" i="21" l="1"/>
  <c r="AI34" i="21"/>
  <c r="AJ53" i="19"/>
  <c r="AI53" i="19"/>
  <c r="AO44" i="21"/>
  <c r="AN44" i="21"/>
  <c r="AH36" i="21"/>
  <c r="AH55" i="19"/>
  <c r="AM46" i="21"/>
  <c r="AG35" i="21"/>
  <c r="AG54" i="19"/>
  <c r="AL45" i="21"/>
  <c r="AO45" i="21" l="1"/>
  <c r="AN45" i="21"/>
  <c r="AJ54" i="19"/>
  <c r="AI54" i="19"/>
  <c r="AJ35" i="21"/>
  <c r="AI35" i="21"/>
  <c r="AM47" i="21"/>
  <c r="AH56" i="19"/>
  <c r="AH37" i="21"/>
  <c r="AL46" i="21"/>
  <c r="AG55" i="19"/>
  <c r="AG36" i="21"/>
  <c r="AJ36" i="21" l="1"/>
  <c r="AI36" i="21"/>
  <c r="AJ55" i="19"/>
  <c r="AI55" i="19"/>
  <c r="AO46" i="21"/>
  <c r="AN46" i="21"/>
  <c r="AH38" i="21"/>
  <c r="AH57" i="19"/>
  <c r="AM48" i="21"/>
  <c r="AG37" i="21"/>
  <c r="AG56" i="19"/>
  <c r="AL47" i="21"/>
  <c r="AO47" i="21" l="1"/>
  <c r="AN47" i="21"/>
  <c r="AJ56" i="19"/>
  <c r="AI56" i="19"/>
  <c r="AJ37" i="21"/>
  <c r="AI37" i="21"/>
  <c r="AM49" i="21"/>
  <c r="AH58" i="19"/>
  <c r="AH39" i="21"/>
  <c r="AL48" i="21"/>
  <c r="AG57" i="19"/>
  <c r="AG38" i="21"/>
  <c r="AJ38" i="21" l="1"/>
  <c r="AI38" i="21"/>
  <c r="AJ57" i="19"/>
  <c r="AI57" i="19"/>
  <c r="AO48" i="21"/>
  <c r="AN48" i="21"/>
  <c r="AH40" i="21"/>
  <c r="AH59" i="19"/>
  <c r="AM50" i="21"/>
  <c r="AG39" i="21"/>
  <c r="AG58" i="19"/>
  <c r="AL49" i="21"/>
  <c r="AO49" i="21" l="1"/>
  <c r="AN49" i="21"/>
  <c r="AJ58" i="19"/>
  <c r="AI58" i="19"/>
  <c r="AJ39" i="21"/>
  <c r="AI39" i="21"/>
  <c r="AM51" i="21"/>
  <c r="AH60" i="19"/>
  <c r="AH41" i="21"/>
  <c r="AL50" i="21"/>
  <c r="AG59" i="19"/>
  <c r="AG40" i="21"/>
  <c r="AJ40" i="21" l="1"/>
  <c r="AI40" i="21"/>
  <c r="AJ59" i="19"/>
  <c r="AI59" i="19"/>
  <c r="AO50" i="21"/>
  <c r="AN50" i="21"/>
  <c r="AH42" i="21"/>
  <c r="AH61" i="19"/>
  <c r="AM52" i="21"/>
  <c r="AG41" i="21"/>
  <c r="AG60" i="19"/>
  <c r="AL51" i="21"/>
  <c r="AO51" i="21" l="1"/>
  <c r="AN51" i="21"/>
  <c r="AJ60" i="19"/>
  <c r="AI60" i="19"/>
  <c r="AJ41" i="21"/>
  <c r="AI41" i="21"/>
  <c r="AM53" i="21"/>
  <c r="AH62" i="19"/>
  <c r="AH43" i="21"/>
  <c r="AL52" i="21"/>
  <c r="AG61" i="19"/>
  <c r="AG42" i="21"/>
  <c r="AJ42" i="21" l="1"/>
  <c r="AI42" i="21"/>
  <c r="AJ61" i="19"/>
  <c r="AI61" i="19"/>
  <c r="AO52" i="21"/>
  <c r="AN52" i="21"/>
  <c r="AH44" i="21"/>
  <c r="AH63" i="19"/>
  <c r="AM54" i="21"/>
  <c r="AG43" i="21"/>
  <c r="AG62" i="19"/>
  <c r="AL53" i="21"/>
  <c r="AO53" i="21" l="1"/>
  <c r="AN53" i="21"/>
  <c r="AJ62" i="19"/>
  <c r="AI62" i="19"/>
  <c r="AJ43" i="21"/>
  <c r="AI43" i="21"/>
  <c r="AM2" i="21"/>
  <c r="C16" i="41" s="1"/>
  <c r="AH2" i="19"/>
  <c r="AH45" i="21"/>
  <c r="AL54" i="21"/>
  <c r="AG63" i="19"/>
  <c r="AG44" i="21"/>
  <c r="AJ44" i="21" l="1"/>
  <c r="AI44" i="21"/>
  <c r="AJ63" i="19"/>
  <c r="AJ2" i="19" s="1"/>
  <c r="AI63" i="19"/>
  <c r="AI2" i="19" s="1"/>
  <c r="AO54" i="21"/>
  <c r="AO2" i="21" s="1"/>
  <c r="AN54" i="21"/>
  <c r="AN2" i="21" s="1"/>
  <c r="C15" i="41" s="1"/>
  <c r="AH46" i="21"/>
  <c r="AG45" i="21"/>
  <c r="AJ45" i="21" l="1"/>
  <c r="AI45" i="21"/>
  <c r="AH47" i="21"/>
  <c r="AG46" i="21"/>
  <c r="AJ46" i="21" l="1"/>
  <c r="AI46" i="21"/>
  <c r="AH48" i="21"/>
  <c r="AG47" i="21"/>
  <c r="AJ47" i="21" l="1"/>
  <c r="AI47" i="21"/>
  <c r="AH49" i="21"/>
  <c r="AG48" i="21"/>
  <c r="AJ48" i="21" l="1"/>
  <c r="AI48" i="21"/>
  <c r="AH50" i="21"/>
  <c r="AG49" i="21"/>
  <c r="AJ49" i="21" l="1"/>
  <c r="AI49" i="21"/>
  <c r="AH51" i="21"/>
  <c r="AG50" i="21"/>
  <c r="AJ50" i="21" l="1"/>
  <c r="AI50" i="21"/>
  <c r="AH52" i="21"/>
  <c r="AG51" i="21"/>
  <c r="AJ51" i="21" l="1"/>
  <c r="AI51" i="21"/>
  <c r="AH53" i="21"/>
  <c r="AG52" i="21"/>
  <c r="AJ52" i="21" l="1"/>
  <c r="AI52" i="21"/>
  <c r="AH54" i="21"/>
  <c r="AG53" i="21"/>
  <c r="AJ53" i="21" l="1"/>
  <c r="AI53" i="21"/>
  <c r="AH2" i="21"/>
  <c r="B16" i="41" s="1"/>
  <c r="AG54" i="21"/>
  <c r="AJ54" i="21" l="1"/>
  <c r="AJ2" i="21" s="1"/>
  <c r="AI54" i="21"/>
  <c r="AI2" i="21" s="1"/>
  <c r="B15" i="4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Amin Khan</author>
    <author>A K</author>
    <author>A</author>
    <author>Office 2004 Test Drive User</author>
  </authors>
  <commentList>
    <comment ref="B3" authorId="0" shapeId="0" xr:uid="{00000000-0006-0000-0200-000001000000}">
      <text>
        <r>
          <rPr>
            <sz val="9"/>
            <color indexed="81"/>
            <rFont val="Calibri"/>
            <family val="2"/>
          </rPr>
          <t>The order in which a given ticker occurs in the import text file.</t>
        </r>
      </text>
    </comment>
    <comment ref="C3" authorId="0" shapeId="0" xr:uid="{00000000-0006-0000-0200-000002000000}">
      <text>
        <r>
          <rPr>
            <sz val="9"/>
            <color indexed="81"/>
            <rFont val="Calibri"/>
            <family val="2"/>
          </rPr>
          <t>The order in which macro should sort the columns on CALCS, T_PCH and T_NAV sheets.</t>
        </r>
      </text>
    </comment>
    <comment ref="F3" authorId="0" shapeId="0" xr:uid="{00000000-0006-0000-0200-000003000000}">
      <text>
        <r>
          <rPr>
            <sz val="9"/>
            <color indexed="81"/>
            <rFont val="Calibri"/>
            <family val="2"/>
          </rPr>
          <t>This is for reference. The number of tickers in the import text file may vary. CALCS sheet will normally work with only 4 tickers.</t>
        </r>
      </text>
    </comment>
    <comment ref="M3" authorId="1" shapeId="0" xr:uid="{00000000-0006-0000-0200-000004000000}">
      <text>
        <r>
          <rPr>
            <sz val="9"/>
            <color indexed="81"/>
            <rFont val="Calibri"/>
            <family val="2"/>
          </rPr>
          <t>This is not fully functional. PDF files if created will always be present on the Desktop.</t>
        </r>
      </text>
    </comment>
    <comment ref="B12" authorId="2" shapeId="0" xr:uid="{00000000-0006-0000-0200-000005000000}">
      <text>
        <r>
          <rPr>
            <sz val="9"/>
            <color indexed="81"/>
            <rFont val="Calibri"/>
            <family val="2"/>
          </rPr>
          <t xml:space="preserve">This is the step interval in the table. 
All other pramaeters are ignored.
</t>
        </r>
      </text>
    </comment>
    <comment ref="A20" authorId="0" shapeId="0" xr:uid="{00000000-0006-0000-0200-000006000000}">
      <text>
        <r>
          <rPr>
            <sz val="9"/>
            <color indexed="81"/>
            <rFont val="Calibri"/>
            <family val="2"/>
          </rPr>
          <t>These SECTION HEADERS are important, do not modify them. Macro will look for parameterts based on these headers.</t>
        </r>
      </text>
    </comment>
    <comment ref="F21" authorId="0" shapeId="0" xr:uid="{00000000-0006-0000-0200-000007000000}">
      <text>
        <r>
          <rPr>
            <sz val="9"/>
            <color indexed="81"/>
            <rFont val="Calibri"/>
            <family val="2"/>
          </rPr>
          <t>Specify the total number of columns on CALC sheet.</t>
        </r>
      </text>
    </comment>
    <comment ref="F22" authorId="3" shapeId="0" xr:uid="{00000000-0006-0000-0200-000008000000}">
      <text>
        <r>
          <rPr>
            <sz val="9"/>
            <color indexed="81"/>
            <rFont val="Calibri"/>
            <family val="2"/>
          </rPr>
          <t xml:space="preserve">This is the actual </t>
        </r>
        <r>
          <rPr>
            <b/>
            <u/>
            <sz val="9"/>
            <color indexed="81"/>
            <rFont val="Calibri"/>
            <family val="2"/>
          </rPr>
          <t>Holding Period</t>
        </r>
        <r>
          <rPr>
            <sz val="9"/>
            <color indexed="81"/>
            <rFont val="Calibri"/>
            <family val="2"/>
          </rPr>
          <t xml:space="preserve"> that will be used. Update the value here and macros will copy it where it is needed.</t>
        </r>
      </text>
    </comment>
    <comment ref="F23" authorId="2" shapeId="0" xr:uid="{00000000-0006-0000-0200-000009000000}">
      <text>
        <r>
          <rPr>
            <sz val="9"/>
            <color indexed="81"/>
            <rFont val="Calibri"/>
            <family val="2"/>
          </rPr>
          <t xml:space="preserve">This is the actual </t>
        </r>
        <r>
          <rPr>
            <b/>
            <u/>
            <sz val="9"/>
            <color indexed="81"/>
            <rFont val="Calibri"/>
            <family val="2"/>
          </rPr>
          <t>Rolling Period</t>
        </r>
        <r>
          <rPr>
            <sz val="9"/>
            <color indexed="81"/>
            <rFont val="Calibri"/>
            <family val="2"/>
          </rPr>
          <t xml:space="preserve"> that will be used. Update the value here and macros will copy it where it is needed.</t>
        </r>
      </text>
    </comment>
    <comment ref="A30" authorId="2" shapeId="0" xr:uid="{00000000-0006-0000-0200-00000A000000}">
      <text>
        <r>
          <rPr>
            <sz val="9"/>
            <color indexed="81"/>
            <rFont val="Calibri"/>
            <family val="2"/>
          </rPr>
          <t>Coumn number</t>
        </r>
      </text>
    </comment>
    <comment ref="B30" authorId="2" shapeId="0" xr:uid="{00000000-0006-0000-0200-00000B000000}">
      <text>
        <r>
          <rPr>
            <sz val="9"/>
            <color indexed="81"/>
            <rFont val="Calibri"/>
            <family val="2"/>
          </rPr>
          <t xml:space="preserve">Column number in A1 reference syle. Use values manually or use the function from Macros: </t>
        </r>
        <r>
          <rPr>
            <b/>
            <sz val="9"/>
            <color indexed="81"/>
            <rFont val="Calibri"/>
            <family val="2"/>
          </rPr>
          <t>=NUMBER2CHAR()</t>
        </r>
      </text>
    </comment>
    <comment ref="C30" authorId="0" shapeId="0" xr:uid="{00000000-0006-0000-0200-00000C000000}">
      <text>
        <r>
          <rPr>
            <sz val="9"/>
            <color indexed="81"/>
            <rFont val="Calibri"/>
            <family val="2"/>
          </rPr>
          <t>The label for the column in main header row at first level.</t>
        </r>
      </text>
    </comment>
    <comment ref="D30" authorId="0" shapeId="0" xr:uid="{00000000-0006-0000-0200-00000D000000}">
      <text>
        <r>
          <rPr>
            <sz val="9"/>
            <color indexed="81"/>
            <rFont val="Calibri"/>
            <family val="2"/>
          </rPr>
          <t>The label for the column in sub-header row at second level.</t>
        </r>
      </text>
    </comment>
    <comment ref="E30" authorId="0" shapeId="0" xr:uid="{00000000-0006-0000-0200-00000E000000}">
      <text>
        <r>
          <rPr>
            <sz val="9"/>
            <color indexed="81"/>
            <rFont val="Calibri"/>
            <family val="2"/>
          </rPr>
          <t>If Summary row  needs to show any values, enter formula here. Otherwise leave empty.</t>
        </r>
      </text>
    </comment>
    <comment ref="F30" authorId="0" shapeId="0" xr:uid="{00000000-0006-0000-0200-00000F000000}">
      <text>
        <r>
          <rPr>
            <sz val="9"/>
            <color indexed="81"/>
            <rFont val="Calibri"/>
            <family val="2"/>
          </rPr>
          <t>Enter the exact formula for first row of data as text (omit the = sign in the start).</t>
        </r>
      </text>
    </comment>
    <comment ref="G30" authorId="0" shapeId="0" xr:uid="{00000000-0006-0000-0200-000010000000}">
      <text>
        <r>
          <rPr>
            <sz val="9"/>
            <color indexed="81"/>
            <rFont val="Calibri"/>
            <family val="2"/>
          </rPr>
          <t>If formula  for rows after first is different, only then specify this value. Else leave empty.</t>
        </r>
      </text>
    </comment>
    <comment ref="H30" authorId="2" shapeId="0" xr:uid="{00000000-0006-0000-0200-000011000000}">
      <text>
        <r>
          <rPr>
            <sz val="9"/>
            <color indexed="81"/>
            <rFont val="Calibri"/>
            <family val="2"/>
          </rPr>
          <t>If this column is empty, the forumla doesn't depend on Rolling Period. Enter "YES" if calculation depends on Rolling Period.</t>
        </r>
      </text>
    </comment>
    <comment ref="I30" authorId="2" shapeId="0" xr:uid="{00000000-0006-0000-0200-000012000000}">
      <text>
        <r>
          <rPr>
            <sz val="9"/>
            <color indexed="81"/>
            <rFont val="Calibri"/>
            <family val="2"/>
          </rPr>
          <t>If this column is empty, the forumla doesn't depend on holding Period. Enter "YES" if calculation depends on Holding Period.</t>
        </r>
      </text>
    </comment>
    <comment ref="J30" authorId="0" shapeId="0" xr:uid="{00000000-0006-0000-0200-000013000000}">
      <text>
        <r>
          <rPr>
            <sz val="9"/>
            <color indexed="81"/>
            <rFont val="Calibri"/>
            <family val="2"/>
          </rPr>
          <t>Sheet!Column address from where to copy data. Data will be copied startring from 2nd row on the specified column on NAV sheet.</t>
        </r>
      </text>
    </comment>
    <comment ref="K30" authorId="0" shapeId="0" xr:uid="{00000000-0006-0000-0200-000014000000}">
      <text>
        <r>
          <rPr>
            <sz val="9"/>
            <color indexed="81"/>
            <rFont val="Calibri"/>
            <family val="2"/>
          </rPr>
          <t xml:space="preserve">General comments or remarks about the CLACS for reference. Macro ignores these details.
</t>
        </r>
      </text>
    </comment>
    <comment ref="L30" authorId="2" shapeId="0" xr:uid="{00000000-0006-0000-0200-000015000000}">
      <text>
        <r>
          <rPr>
            <sz val="9"/>
            <color indexed="81"/>
            <rFont val="Calibri"/>
            <family val="2"/>
          </rPr>
          <t xml:space="preserve">This number format will be applied to the columns.
</t>
        </r>
      </text>
    </comment>
    <comment ref="M30" authorId="2" shapeId="0" xr:uid="{00000000-0006-0000-0200-000016000000}">
      <text>
        <r>
          <rPr>
            <sz val="9"/>
            <color indexed="81"/>
            <rFont val="Calibri"/>
            <family val="2"/>
          </rPr>
          <t>This number format will be applied to the  Summary row for these columns.</t>
        </r>
      </text>
    </comment>
    <comment ref="E31" authorId="2" shapeId="0" xr:uid="{00000000-0006-0000-0200-000017000000}">
      <text>
        <r>
          <rPr>
            <b/>
            <sz val="9"/>
            <color indexed="81"/>
            <rFont val="Calibri"/>
            <family val="2"/>
          </rPr>
          <t xml:space="preserve">How to specify formula:
</t>
        </r>
        <r>
          <rPr>
            <sz val="9"/>
            <color indexed="81"/>
            <rFont val="Calibri"/>
            <family val="2"/>
          </rPr>
          <t xml:space="preserve">Specify same formula as first data row. Put '= in the start of formula.
For summary row, normally the formula will cover all the rows like SUM, MAX etc. Use following tags to define range in formulas:
&lt;FIRST&gt; - this denotes the first row with data values
&lt;LAST&gt; - this denotes the last row with data values
</t>
        </r>
      </text>
    </comment>
    <comment ref="G31" authorId="2" shapeId="0" xr:uid="{00000000-0006-0000-0200-000018000000}">
      <text>
        <r>
          <rPr>
            <b/>
            <sz val="9"/>
            <color indexed="81"/>
            <rFont val="Calibri"/>
            <family val="2"/>
          </rPr>
          <t>How to specify formula:</t>
        </r>
        <r>
          <rPr>
            <sz val="9"/>
            <color indexed="81"/>
            <rFont val="Calibri"/>
            <family val="2"/>
          </rPr>
          <t xml:space="preserve">
Specify same formula as first data row. Skip the = sign in the start of formula or put '= in the start of formula.
For Holding period, instead of row number replace it with special tag:
&lt;PREVIOUS&gt;  - this denotes the month N months ago, where N is holding period
&lt;CURRENT&gt;  - this denotes the current month
For Rolling period, instead of row number replace it with special tag:
&lt;PREVIOUS&gt;  - this denotes the month N months ago, where N is rolling period
&lt;CURRENT&gt;  - this denotes the current month</t>
        </r>
      </text>
    </comment>
    <comment ref="D32" authorId="0" shapeId="0" xr:uid="{00000000-0006-0000-0200-000019000000}">
      <text>
        <r>
          <rPr>
            <sz val="9"/>
            <color indexed="81"/>
            <rFont val="Calibri"/>
            <family val="2"/>
          </rPr>
          <t>Do not change this phrase. Macro will replace this placeholder with actual ticker value, e.g. 1XI_IXIC</t>
        </r>
      </text>
    </comment>
    <comment ref="D39" authorId="2" shapeId="0" xr:uid="{00000000-0006-0000-0200-00001A000000}">
      <text>
        <r>
          <rPr>
            <sz val="9"/>
            <color indexed="81"/>
            <rFont val="Calibri"/>
            <family val="2"/>
          </rPr>
          <t>Do not change this phrase. Macro will replace this placeholder with actual ticker value, e.g. CASH</t>
        </r>
      </text>
    </comment>
    <comment ref="H48" authorId="2" shapeId="0" xr:uid="{00000000-0006-0000-0200-00001B000000}">
      <text>
        <r>
          <rPr>
            <sz val="9"/>
            <color indexed="81"/>
            <rFont val="Calibri"/>
            <family val="2"/>
          </rPr>
          <t>Value in this column indicates that macro needs to do special handling for this column. Values/formulas in this column depend on the value in Rolling Period.</t>
        </r>
      </text>
    </comment>
    <comment ref="E49" authorId="2" shapeId="0" xr:uid="{00000000-0006-0000-0200-00001C000000}">
      <text>
        <r>
          <rPr>
            <sz val="9"/>
            <color indexed="81"/>
            <rFont val="Calibri"/>
            <family val="2"/>
          </rPr>
          <t>Macro will use the Actual value of Rolling Period specified on ASSUMPTION sheet in all calculations on CALCS sheet</t>
        </r>
      </text>
    </comment>
    <comment ref="E60" authorId="2" shapeId="0" xr:uid="{00000000-0006-0000-0200-00001D000000}">
      <text>
        <r>
          <rPr>
            <sz val="9"/>
            <color indexed="81"/>
            <rFont val="Calibri"/>
            <family val="2"/>
          </rPr>
          <t>To show some text instead of value, prefix with the value with '
To specify a formula, prefix with '=</t>
        </r>
      </text>
    </comment>
    <comment ref="E61" authorId="2" shapeId="0" xr:uid="{00000000-0006-0000-0200-00001E000000}">
      <text>
        <r>
          <rPr>
            <sz val="9"/>
            <color indexed="81"/>
            <rFont val="Calibri"/>
            <family val="2"/>
          </rPr>
          <t>Macro will use the Actual value of Holding Period specified on ASSUMPTION sheet in all calculations on CALCS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Amin Khan</author>
  </authors>
  <commentList>
    <comment ref="R2" authorId="0" shapeId="0" xr:uid="{00000000-0006-0000-0B00-000001000000}">
      <text>
        <r>
          <rPr>
            <b/>
            <sz val="9"/>
            <color indexed="81"/>
            <rFont val="Calibri"/>
            <family val="2"/>
          </rPr>
          <t>Amin Khan:</t>
        </r>
        <r>
          <rPr>
            <sz val="9"/>
            <color indexed="81"/>
            <rFont val="Calibri"/>
            <family val="2"/>
          </rPr>
          <t xml:space="preserve">
Is this Rolling Period, or Holding Period? Or are they the same thing?</t>
        </r>
      </text>
    </comment>
    <comment ref="O3" authorId="0" shapeId="0" xr:uid="{00000000-0006-0000-0B00-000002000000}">
      <text>
        <r>
          <rPr>
            <b/>
            <sz val="9"/>
            <color indexed="81"/>
            <rFont val="Calibri"/>
            <family val="2"/>
          </rPr>
          <t>Amin Khan:</t>
        </r>
        <r>
          <rPr>
            <sz val="9"/>
            <color indexed="81"/>
            <rFont val="Calibri"/>
            <family val="2"/>
          </rPr>
          <t xml:space="preserve">
Is this Rolling or Running? Are they same thing? - </t>
        </r>
        <r>
          <rPr>
            <b/>
            <sz val="9"/>
            <color indexed="81"/>
            <rFont val="Calibri"/>
            <family val="2"/>
          </rPr>
          <t>RUNNING</t>
        </r>
      </text>
    </comment>
    <comment ref="L4" authorId="0" shapeId="0" xr:uid="{00000000-0006-0000-0B00-000003000000}">
      <text>
        <r>
          <rPr>
            <b/>
            <sz val="9"/>
            <color indexed="81"/>
            <rFont val="Calibri"/>
            <family val="2"/>
          </rPr>
          <t>Amin Khan:</t>
        </r>
        <r>
          <rPr>
            <sz val="9"/>
            <color indexed="81"/>
            <rFont val="Calibri"/>
            <family val="2"/>
          </rPr>
          <t xml:space="preserve">
 I don't think this column is necessary but let's keep it. -</t>
        </r>
        <r>
          <rPr>
            <b/>
            <sz val="9"/>
            <color indexed="81"/>
            <rFont val="Calibri"/>
            <family val="2"/>
          </rPr>
          <t xml:space="preserve"> THIS ALLOWS FOR THE CHART TO SHOW SHORT EXPOSURE BELOW THE 0 AXIS. - if   we delete this column and make the adjustment on the fly to column K then you should make sure to adjust all calculations making reference to column K (invert the sign)</t>
        </r>
      </text>
    </comment>
    <comment ref="AD4" authorId="0" shapeId="0" xr:uid="{00000000-0006-0000-0B00-000004000000}">
      <text>
        <r>
          <rPr>
            <b/>
            <sz val="9"/>
            <color indexed="81"/>
            <rFont val="Calibri"/>
            <family val="2"/>
          </rPr>
          <t>Amin Khan:</t>
        </r>
        <r>
          <rPr>
            <sz val="9"/>
            <color indexed="81"/>
            <rFont val="Calibri"/>
            <family val="2"/>
          </rPr>
          <t xml:space="preserve">
What is the header for these 2 columns? Rolling CAGR?</t>
        </r>
      </text>
    </comment>
  </commentList>
</comments>
</file>

<file path=xl/sharedStrings.xml><?xml version="1.0" encoding="utf-8"?>
<sst xmlns="http://schemas.openxmlformats.org/spreadsheetml/2006/main" count="1307" uniqueCount="461">
  <si>
    <t>Header</t>
  </si>
  <si>
    <t>HEDGE RATIO</t>
  </si>
  <si>
    <t>=AVERAGE(AP&lt;FIRST&gt;:AP&lt;LAST&gt;)</t>
  </si>
  <si>
    <t>hedge ratio</t>
  </si>
  <si>
    <t>0.00</t>
  </si>
  <si>
    <t>(J5/K5)/10</t>
  </si>
  <si>
    <t>Index:</t>
  </si>
  <si>
    <t>EU_KITE</t>
  </si>
  <si>
    <t>No</t>
  </si>
  <si>
    <t>(Growth for Current Month / Growth for N months ago) – 1, where N is the Rolling Period</t>
  </si>
  <si>
    <t>Rolling 12 Months Return For Fund – Rolling 12 Months Return For Index</t>
  </si>
  <si>
    <t>HEADING 2 ROW #</t>
  </si>
  <si>
    <t>SUMMARY ROW #</t>
  </si>
  <si>
    <t>DATA ROW#</t>
  </si>
  <si>
    <t>USER FORMULAS COLUMN DETAILS</t>
  </si>
  <si>
    <t>COLUMN #</t>
  </si>
  <si>
    <t>COLUMN HEADING 1</t>
  </si>
  <si>
    <t>FORMULA Column Summary  (header row -1)</t>
  </si>
  <si>
    <t>MACRO FORMULA Row 1</t>
  </si>
  <si>
    <t>Macro Formula Row 2-n</t>
  </si>
  <si>
    <t>ROLLING PERIOD</t>
  </si>
  <si>
    <t>HOLDING PERIOD</t>
  </si>
  <si>
    <t>DATA SOURCE</t>
  </si>
  <si>
    <t>Description</t>
  </si>
  <si>
    <t>DATE</t>
  </si>
  <si>
    <t>&lt;&lt;&lt; THIS LOGIC IS NOT FIGURE OUT YET.</t>
  </si>
  <si>
    <t>F&lt;CURRENT&gt;/F&lt;PREVIOUS&gt;-1</t>
  </si>
  <si>
    <t>G&lt;CURRENT&gt;/G&lt;PREVIOUS&gt;-1</t>
  </si>
  <si>
    <t>S&lt;CURRENT&gt;-R&lt;CURRENT&gt;</t>
  </si>
  <si>
    <t>Yes</t>
  </si>
  <si>
    <t>File naming conventions:</t>
  </si>
  <si>
    <t>Append in front of filename</t>
  </si>
  <si>
    <t>Append at end of file name</t>
  </si>
  <si>
    <t>GLC</t>
  </si>
  <si>
    <t>Report</t>
  </si>
  <si>
    <t>Middle of file name</t>
  </si>
  <si>
    <t>&lt;ticker&gt;</t>
  </si>
  <si>
    <t>Summary Row Column Number Format</t>
  </si>
  <si>
    <t>0</t>
  </si>
  <si>
    <t>0.00%</t>
  </si>
  <si>
    <t>Component of Returns (values)</t>
  </si>
  <si>
    <t>Component of Returns (proportions)</t>
  </si>
  <si>
    <t>INDEX DD ANALYSIS</t>
  </si>
  <si>
    <t>FUND DD ANALYSIS</t>
  </si>
  <si>
    <t>Down Months</t>
  </si>
  <si>
    <t>get data from NAV tab - % CHANGE column - show only rows where INDEX is less than zero</t>
  </si>
  <si>
    <t>Up Months</t>
  </si>
  <si>
    <t>Number of Tickers in File</t>
  </si>
  <si>
    <t>Index</t>
  </si>
  <si>
    <t>Number of Tickers To Calculate</t>
  </si>
  <si>
    <t>Fund</t>
  </si>
  <si>
    <t>Volatility</t>
  </si>
  <si>
    <t>Cash</t>
  </si>
  <si>
    <t>DISTRIBUTION OF RETURNS</t>
  </si>
  <si>
    <t>USER FORMULAS PARMETERS</t>
  </si>
  <si>
    <t>HEADING 1 ROW #</t>
  </si>
  <si>
    <t>Number of Columns</t>
  </si>
  <si>
    <t xml:space="preserve">STDDEV(First Value, Current Value)*SQRT(12) </t>
  </si>
  <si>
    <t>(V&lt;CURRENT&gt;/Y&lt;CURRENT&gt;)</t>
  </si>
  <si>
    <t>(W&lt;CURRENT&gt;/Y&lt;CURRENT&gt;)</t>
  </si>
  <si>
    <t>(X&lt;CURRENT&gt;/Y&lt;CURRENT&gt;)</t>
  </si>
  <si>
    <t>asymmetry of return</t>
  </si>
  <si>
    <t>historical  risk &amp; reward</t>
  </si>
  <si>
    <t>portfolio return &amp; exposure</t>
  </si>
  <si>
    <t>Max fund return</t>
  </si>
  <si>
    <t>Min Fund Return</t>
  </si>
  <si>
    <t>Step crieteria</t>
  </si>
  <si>
    <t>Macintosh HD:Users:borzou:Documents:SH_ADDITIONALS:SH_PORTFOLIO:</t>
  </si>
  <si>
    <t>Print Tabs:</t>
  </si>
  <si>
    <t>All</t>
  </si>
  <si>
    <t>Reprt_1</t>
  </si>
  <si>
    <t>Reprt_2</t>
  </si>
  <si>
    <t>average monthly market up</t>
  </si>
  <si>
    <t>average monthly market down</t>
  </si>
  <si>
    <t>up market performance</t>
  </si>
  <si>
    <t>down market performance</t>
  </si>
  <si>
    <t>SH_StrategyAllocs.txt</t>
  </si>
  <si>
    <t>HedgeEquity</t>
  </si>
  <si>
    <t>MergerArbitrage</t>
  </si>
  <si>
    <t>CTA_ManagedFutures</t>
  </si>
  <si>
    <t>ConvertibleArbitrage</t>
  </si>
  <si>
    <t>DistressedSecurities</t>
  </si>
  <si>
    <t>FixedIncomeArbitrage</t>
  </si>
  <si>
    <t>Macro</t>
  </si>
  <si>
    <t>EventDriven</t>
  </si>
  <si>
    <t>RelativeValue</t>
  </si>
  <si>
    <t>OtherValue</t>
  </si>
  <si>
    <t>Column</t>
  </si>
  <si>
    <t>property of Greenlake Capital LLC | 41 East 57th Street | New York | NY | 10022 | USA | T: +1 212 888-8111 | E: mail@greenlakecapital.com</t>
  </si>
  <si>
    <t>up months</t>
  </si>
  <si>
    <t>total months</t>
  </si>
  <si>
    <t>% of up months</t>
  </si>
  <si>
    <t>min return</t>
  </si>
  <si>
    <t>max return</t>
  </si>
  <si>
    <t>SH_QUALITATIVE.txt</t>
  </si>
  <si>
    <t>SH_FundCompositions.txt</t>
  </si>
  <si>
    <t>FundTicker</t>
  </si>
  <si>
    <t>FundName</t>
  </si>
  <si>
    <t>NumberOfLongs</t>
  </si>
  <si>
    <t>NumberOfShorts</t>
  </si>
  <si>
    <t>PercentageLong</t>
  </si>
  <si>
    <t>PercentageShort</t>
  </si>
  <si>
    <t>TypicalLeverage</t>
  </si>
  <si>
    <t>CurrentLeverage</t>
  </si>
  <si>
    <t>FundType</t>
  </si>
  <si>
    <t>FundGeoFocus</t>
  </si>
  <si>
    <t>InvestmentStyle</t>
  </si>
  <si>
    <t>FundSpecialty</t>
  </si>
  <si>
    <t>PortfolioManager</t>
  </si>
  <si>
    <t>Edge</t>
  </si>
  <si>
    <t>FundClass</t>
  </si>
  <si>
    <t>FundStrategy</t>
  </si>
  <si>
    <t>InvestmentSpecialty</t>
  </si>
  <si>
    <t>Objective</t>
  </si>
  <si>
    <t>AssetsUnderManagement</t>
  </si>
  <si>
    <t>get data from NAV tab - % CHANGE column - show only rows where INDEX is equal or greater than zero</t>
  </si>
  <si>
    <t>Distribution of Returns</t>
  </si>
  <si>
    <t>BY USER</t>
  </si>
  <si>
    <t>STEPS</t>
  </si>
  <si>
    <t>LIMITS</t>
  </si>
  <si>
    <t>Date</t>
  </si>
  <si>
    <t>1XI_IXIC</t>
  </si>
  <si>
    <t>2T15_SOPH</t>
  </si>
  <si>
    <t>3XI_VIX</t>
  </si>
  <si>
    <t>4CASH</t>
  </si>
  <si>
    <t>Long</t>
  </si>
  <si>
    <t>Short</t>
  </si>
  <si>
    <t>Short (-)</t>
  </si>
  <si>
    <t>Gross</t>
  </si>
  <si>
    <t>Net</t>
  </si>
  <si>
    <t>Un_levered Returns</t>
  </si>
  <si>
    <t>Excess Return of Fund</t>
  </si>
  <si>
    <t>AVG NET SI</t>
  </si>
  <si>
    <t>Mkt Timing</t>
  </si>
  <si>
    <t>Mkt Tailwind</t>
  </si>
  <si>
    <t>Stock Picking</t>
  </si>
  <si>
    <t>RETURN (ABS)</t>
  </si>
  <si>
    <t>ERROR CHECK</t>
  </si>
  <si>
    <t>=ASSUMPTION!F23</t>
  </si>
  <si>
    <t>=ASSUMPTION!F22</t>
  </si>
  <si>
    <t>Column Number Format</t>
  </si>
  <si>
    <t>mmm-yy</t>
  </si>
  <si>
    <t>all cells in green/orange have to be completed by user</t>
  </si>
  <si>
    <t>Value for Prev Month * (1 +(% Change for Prev Month/Gross For Current Month))</t>
  </si>
  <si>
    <t>YES</t>
  </si>
  <si>
    <t>RUNNING - CAGR - INDEX</t>
  </si>
  <si>
    <t>RUNNING - CAGR - FUND</t>
  </si>
  <si>
    <t>INDEX NEW HIGHS</t>
  </si>
  <si>
    <t>INDEX NEW LOWS</t>
  </si>
  <si>
    <t>INDEX LENGTH OF DD</t>
  </si>
  <si>
    <t>CASH</t>
  </si>
  <si>
    <t>CALCULATIONS REQUIRED</t>
  </si>
  <si>
    <t xml:space="preserve">Rolling Period = </t>
  </si>
  <si>
    <t>COLUMN HEADING 2</t>
  </si>
  <si>
    <t>&lt;Ticker_1&gt;</t>
  </si>
  <si>
    <t>&lt;Ticker_2&gt;</t>
  </si>
  <si>
    <t>&lt;Ticker_3&gt;</t>
  </si>
  <si>
    <t>&lt;Ticker_4&gt;</t>
  </si>
  <si>
    <t>NAV!B2</t>
  </si>
  <si>
    <t>J5+K5</t>
  </si>
  <si>
    <t>J5-K5</t>
  </si>
  <si>
    <t>STDEV(B$5:B6)*SQRT(12)</t>
  </si>
  <si>
    <t>STDEV(C$5:C6)*SQRT(12)</t>
  </si>
  <si>
    <t>Q5*(1+(C5/M6))</t>
  </si>
  <si>
    <t>G5</t>
  </si>
  <si>
    <t>MAX(F$4:F5)</t>
  </si>
  <si>
    <t>MIN(INDIRECT("f"&amp;ROW(AG5)-AH5):F5)</t>
  </si>
  <si>
    <t>IF(AF6=AF5,IF(AF6=0,0,1+AH5),0)</t>
  </si>
  <si>
    <t>IF(AG5&lt;=AG6,"",AG6/AF6-1)</t>
  </si>
  <si>
    <t>AG6/AG5-1</t>
  </si>
  <si>
    <t>MAX(G$4:G5)</t>
  </si>
  <si>
    <t>MIN(INDIRECT("g"&amp;ROW(AL5)-AM5):G5)</t>
  </si>
  <si>
    <t>IF(AK6=AK5,IF(AK6=0,0,1+AM5),0)</t>
  </si>
  <si>
    <t>IF(AL5&lt;=AL6,"",AL6/AK6-1)</t>
  </si>
  <si>
    <t>AL6/AL5-1</t>
  </si>
  <si>
    <t>RUNNING Standard Deviation</t>
  </si>
  <si>
    <t>Rolling 12 Months Return</t>
  </si>
  <si>
    <t>aX_SPX_CASH.TXT</t>
  </si>
  <si>
    <t>AVERAGE($N$&lt;PREVIOUS&gt;:$N&lt;CURRENT&gt;)</t>
  </si>
  <si>
    <t>(N&lt;CURRENT&gt;-U&lt;CURRENT&gt;)*R&lt;CURRENT&gt;</t>
  </si>
  <si>
    <t>R&lt;CURRENT&gt;*U&lt;CURRENT&gt;</t>
  </si>
  <si>
    <t>S&lt;CURRENT&gt;-(V&lt;CURRENT&gt;+W&lt;CURRENT&gt;)</t>
  </si>
  <si>
    <t>ABS(V&lt;CURRENT&gt;)+ABS(W&lt;CURRENT&gt;)+ABS(X&lt;CURRENT&gt;)</t>
  </si>
  <si>
    <t>ABS(AB&lt;CURRENT&gt;)+ABS(AA&lt;CURRENT&gt;)+ABS(Z&lt;CURRENT&gt;)</t>
  </si>
  <si>
    <t>F&lt;CURRENT&gt;/F&lt;PREVIOUS&gt;^(12/$AE$2)-1</t>
  </si>
  <si>
    <t>G&lt;CURRENT&gt;/G&lt;PREVIOUS&gt;^(12/$AE$2)-1</t>
  </si>
  <si>
    <t>=MAX(AH&lt;FIRST&gt;:AH&lt;LAST&gt;)</t>
  </si>
  <si>
    <t>=MIN(AI&lt;FIRST&gt;:AI&lt;LAST&gt;)</t>
  </si>
  <si>
    <t>=MIN(AJ&lt;FIRST&gt;:AJ&lt;LAST&gt;)</t>
  </si>
  <si>
    <t>=MAX(AM&lt;FIRST&gt;:AM&lt;LAST&gt;)</t>
  </si>
  <si>
    <t>=MIN(AN&lt;FIRST&gt;:AN&lt;LAST&gt;)</t>
  </si>
  <si>
    <t>=MIN(AO&lt;FIRST&gt;:AO&lt;LAST&gt;)</t>
  </si>
  <si>
    <t>=-K5</t>
  </si>
  <si>
    <r>
      <t>Holding</t>
    </r>
    <r>
      <rPr>
        <sz val="12"/>
        <color indexed="8"/>
        <rFont val="Arial"/>
        <family val="2"/>
      </rPr>
      <t xml:space="preserve"> Period To Use</t>
    </r>
  </si>
  <si>
    <r>
      <t>Rolling</t>
    </r>
    <r>
      <rPr>
        <sz val="12"/>
        <color indexed="8"/>
        <rFont val="Arial"/>
        <family val="2"/>
      </rPr>
      <t xml:space="preserve"> Period To Use</t>
    </r>
  </si>
  <si>
    <t>(Net – AVG NET SI) * Rolling 12 Months Return for Index</t>
  </si>
  <si>
    <t>(Net – AVG NET SI) * Rolling 12 Months Return for Fund</t>
  </si>
  <si>
    <t xml:space="preserve">Rolling 12 Months Return For Fund – (Mkt Timing+Mkt Tailwind) </t>
  </si>
  <si>
    <t>We need to discuss the above in more details</t>
  </si>
  <si>
    <t>Jan</t>
  </si>
  <si>
    <t>Feb</t>
  </si>
  <si>
    <t>Mar</t>
  </si>
  <si>
    <t>April</t>
  </si>
  <si>
    <t>May</t>
  </si>
  <si>
    <t>June</t>
  </si>
  <si>
    <t>July</t>
  </si>
  <si>
    <t>Holding Period</t>
  </si>
  <si>
    <t>Rolling Period</t>
  </si>
  <si>
    <t>Aug</t>
  </si>
  <si>
    <t>Sep</t>
  </si>
  <si>
    <t>Oct</t>
  </si>
  <si>
    <t>Nov</t>
  </si>
  <si>
    <t>Dec</t>
  </si>
  <si>
    <t>YearToDateChange</t>
  </si>
  <si>
    <t>Assumptions:</t>
  </si>
  <si>
    <t>ORDER OF TICKERS</t>
  </si>
  <si>
    <t>TICKER</t>
  </si>
  <si>
    <t>ORDER of DATA</t>
  </si>
  <si>
    <t>MACRO ORDER OF TICKER</t>
  </si>
  <si>
    <t>FOLDER / FILE NAMES</t>
  </si>
  <si>
    <t>SH_FUNDS</t>
  </si>
  <si>
    <t>SH_PORTFOLIO</t>
  </si>
  <si>
    <t>SH_FundIndex.txt</t>
  </si>
  <si>
    <t>SH_PORTFOLIOIndex.txt</t>
  </si>
  <si>
    <t>FOLDER</t>
  </si>
  <si>
    <t>FILE</t>
  </si>
  <si>
    <t>FUND FILE NAMES</t>
  </si>
  <si>
    <t>DOCUMENT FILE NAMES</t>
  </si>
  <si>
    <t/>
  </si>
  <si>
    <t>T15_SOPH</t>
  </si>
  <si>
    <t>Last 12 Months</t>
  </si>
  <si>
    <t>0%</t>
  </si>
  <si>
    <t>$#,##0</t>
  </si>
  <si>
    <t>Global</t>
  </si>
  <si>
    <t>Opinion</t>
  </si>
  <si>
    <t>FundStatus</t>
  </si>
  <si>
    <t>RedemptionSchedule</t>
  </si>
  <si>
    <t>AdvanceNotice</t>
  </si>
  <si>
    <t>Cash (Default)</t>
  </si>
  <si>
    <t>N. America</t>
  </si>
  <si>
    <t>Capital Preservation</t>
  </si>
  <si>
    <t>4 No Interest</t>
  </si>
  <si>
    <t>Open</t>
  </si>
  <si>
    <t>Daily</t>
  </si>
  <si>
    <t>Hedge Fund</t>
  </si>
  <si>
    <t>Capital Appreciation</t>
  </si>
  <si>
    <t>Technology</t>
  </si>
  <si>
    <t>INDEX WORST DD</t>
  </si>
  <si>
    <t>INDEX UNDERWATER</t>
  </si>
  <si>
    <t>FUND NEW HIGHS</t>
  </si>
  <si>
    <t>FUND NEW LOWS</t>
  </si>
  <si>
    <t>FUND LENGTH  OF DD</t>
  </si>
  <si>
    <t>FUND WORST DD</t>
  </si>
  <si>
    <t>FUND UNDERWATER</t>
  </si>
  <si>
    <t>XI_IXIC</t>
  </si>
  <si>
    <t>Fund Outperformance</t>
  </si>
  <si>
    <t>Steps</t>
  </si>
  <si>
    <t>Bucket (%)</t>
  </si>
  <si>
    <t>THERE IS NO VALID CALCULATIONS HERE BECAUSE "ROLLING PERIOD" is set to 12</t>
  </si>
  <si>
    <t>There is no valid calculation here for the first 12 months- because"HOLDING PERIOD" is set to 12</t>
  </si>
  <si>
    <t>Bucket (X)</t>
  </si>
  <si>
    <t>Bucket (#)</t>
  </si>
  <si>
    <t>Bucket # (min)</t>
  </si>
  <si>
    <t>Bucket # (max)</t>
  </si>
  <si>
    <t>END LIMITS</t>
  </si>
  <si>
    <t>SYSTEM TO USE # BUCKETS</t>
  </si>
  <si>
    <t>HOLDING PERIOD =</t>
  </si>
  <si>
    <t>from NAV TAB</t>
  </si>
  <si>
    <t>% Change Values</t>
  </si>
  <si>
    <t>get these values from NAV TAB</t>
  </si>
  <si>
    <t>Growth Values</t>
  </si>
  <si>
    <t>Market Exposure</t>
  </si>
  <si>
    <t>Abs(Mkt Timing)+Abs(Mkt Tailwind)+Abs(Stock Picking)</t>
  </si>
  <si>
    <t>(Mkt Timing / Return (ABS)) * 100</t>
  </si>
  <si>
    <t>(Mkt Tailwind / Return (ABS)) * 100</t>
  </si>
  <si>
    <t xml:space="preserve">(Stock Picking/ Return (ABS)) * 100 </t>
  </si>
  <si>
    <t xml:space="preserve">Abs(Mkt Timing Proportion)+Abs(Mkt Tailwind Proportion)+Abs(Stock Picking Proportion) </t>
  </si>
  <si>
    <t>{(Growth for Current Month / Growth for N months ago) ^ (12/N)} – 1, where N is the Holding Period</t>
  </si>
  <si>
    <t>-(Short)</t>
  </si>
  <si>
    <t>Months for which tickers have data</t>
  </si>
  <si>
    <t>NAV!D2</t>
  </si>
  <si>
    <t>NAV!E2</t>
  </si>
  <si>
    <t>NAV!F2</t>
  </si>
  <si>
    <t>NAV!G2</t>
  </si>
  <si>
    <t>Gross = Long + Short</t>
  </si>
  <si>
    <t>Net = Long - Short</t>
  </si>
  <si>
    <t xml:space="preserve">                 </t>
  </si>
  <si>
    <t xml:space="preserve">           </t>
  </si>
  <si>
    <t>Worst DD</t>
  </si>
  <si>
    <t>Length of DD</t>
  </si>
  <si>
    <t>Year To Date</t>
  </si>
  <si>
    <t>Hedged Equity</t>
  </si>
  <si>
    <t>Sector Focus</t>
  </si>
  <si>
    <t>Equity</t>
  </si>
  <si>
    <t>1 High</t>
  </si>
  <si>
    <t>Quarterly</t>
  </si>
  <si>
    <t>Pdf Folder Path</t>
  </si>
  <si>
    <t>Mac Print Shortcut Key</t>
  </si>
  <si>
    <t>Command+Option+p</t>
  </si>
  <si>
    <t>Monthly</t>
  </si>
  <si>
    <t>Equities</t>
  </si>
  <si>
    <t>FixedIncome</t>
  </si>
  <si>
    <t>Private</t>
  </si>
  <si>
    <t>Other</t>
  </si>
  <si>
    <t>Allocation</t>
  </si>
  <si>
    <t>sum of up months</t>
  </si>
  <si>
    <t>sum of down months</t>
  </si>
  <si>
    <t>down months</t>
  </si>
  <si>
    <t>% of down months</t>
  </si>
  <si>
    <t>average monthly up</t>
  </si>
  <si>
    <t>average monthly down</t>
  </si>
  <si>
    <t>Energy</t>
  </si>
  <si>
    <t>Multi-Sector</t>
  </si>
  <si>
    <t>Closed to Investors</t>
  </si>
  <si>
    <t>No New Investors</t>
  </si>
  <si>
    <t>Dwight and the teamÕs deep focus across the entire commodity spectrum and related equities, allows them to triangulate information and build a multi-dimensional macro picture. Dwight, having been involved in the space since 1995, has built an extensive global information network, which provides the team with deep tentacles into the supply and demand dynamics of each commodity class.  They know who to call, what to ask and the issues to look out for.  In-depth Understanding of the underlying economics of each individual commodity, how they trade, how each compete on price or cost and deduce the timing of entry and exit accordingly. --  -- Focus across the spectrum of commodities and equities allows firm to triangulate information and build a macro picture. Key competitive advantage- Knowledge of underlying assets. The brigage cost - in / out of position.</t>
  </si>
  <si>
    <t>Commodities</t>
  </si>
  <si>
    <t>Exclude Charts:</t>
  </si>
  <si>
    <t>Shipping</t>
  </si>
  <si>
    <t>KL Special Opportunities Fund Ltd.</t>
  </si>
  <si>
    <t>D. Europe</t>
  </si>
  <si>
    <t>Massi has assembled one of the strongest Event-Driven team on the Street.  Her 22 years of experience in event-driven investing over multiple cycles since 1993 and successful track records of investing in M&amp;A deals and European workouts are strong testimodial to her investment edge.  She seeded the fund with $30M, large portfolio of her net-worth.  Interest aligned between team and investors.  She is return focused and not an asset gatherer, Fund will strictly cap at $1B.</t>
  </si>
  <si>
    <t>Event Driven</t>
  </si>
  <si>
    <t>The Fund will invest all of its assets (to the extent not retained in cash) in the ordinary shares of the Master Fund. The investment objective of the Master Fund is to generate high absolute risk-adjusted returns. There can be no assurance that the Master Fund will achieve its investment objective. The Master Fund will seek to achieve its investment objective primarily through the application of a range of event-driven investment strategies. Such strategies are implemented through transactions in securities and instruments involving risk arbitrage; corporate financial restructurings; major operational reorganisations including spin-offs and complex unwinding of holding companies; credit events; distressed situations and other events, situations and circumstances relating to or affecting particular securities, issuers, sectors and/or markets. There are no restrictions on the investment strategies which the Master Fund may pursue in accordance with its investment approach, including without limitation those relating to or affecting particular securities, issuers, sectors and/or markets</t>
  </si>
  <si>
    <t>Financials</t>
  </si>
  <si>
    <t>AX_SPX_EU_KITE.TXT</t>
  </si>
  <si>
    <t>Generalist</t>
  </si>
  <si>
    <t>Macintosh HD:Users:borzou:Desktop</t>
  </si>
  <si>
    <t>un-levered return vs. actual return</t>
  </si>
  <si>
    <t>market volatiility vs. net portfolio exposure</t>
  </si>
  <si>
    <t>aX_SPX_FF_ARCH.TXT</t>
  </si>
  <si>
    <t>FF_ARCH</t>
  </si>
  <si>
    <t>XI_IXIC_T8_TTEC.TXT</t>
  </si>
  <si>
    <t>T8_TTEC</t>
  </si>
  <si>
    <t>XI_IXF_F6_ALG.TXT</t>
  </si>
  <si>
    <t>F6_ALG</t>
  </si>
  <si>
    <t>XI_OSX_EU_SMI.TXT</t>
  </si>
  <si>
    <t>EU_SMI</t>
  </si>
  <si>
    <t>AX_SPX_HE_CHIL.TXT</t>
  </si>
  <si>
    <t>HE_CHIL</t>
  </si>
  <si>
    <t>XI_MSCIW_AD_MCUR.TXT</t>
  </si>
  <si>
    <t>AD_MCUR</t>
  </si>
  <si>
    <t>XI_MSCIW_EU_HOREU.TXT</t>
  </si>
  <si>
    <t>EU_HOREU</t>
  </si>
  <si>
    <t>XI_MSCIW_MN_SCL.TXT</t>
  </si>
  <si>
    <t>MN_SCL</t>
  </si>
  <si>
    <t>XI_MSCIW_EU_ADEL.TXT</t>
  </si>
  <si>
    <t>EU_ADEL</t>
  </si>
  <si>
    <t>XI_MSCIW_AE_EVER.TXT</t>
  </si>
  <si>
    <t>AE_EVER</t>
  </si>
  <si>
    <t>XI_MSCIW_AE_VPAF.TXT</t>
  </si>
  <si>
    <t>AE_VPAF</t>
  </si>
  <si>
    <t>XI_MSCIW_AE_BAER.TXT</t>
  </si>
  <si>
    <t>AE_BAER</t>
  </si>
  <si>
    <t>XI_MSCIW_AE_CHIL.TXT</t>
  </si>
  <si>
    <t>AE_CHIL</t>
  </si>
  <si>
    <t>XI_MSCIW_EE_OCCO.TXT</t>
  </si>
  <si>
    <t>EE_OCCO</t>
  </si>
  <si>
    <t>XI_MSCIW_EU_HENE.TXT</t>
  </si>
  <si>
    <t>EU_HENE</t>
  </si>
  <si>
    <t>XI_MSCIW_AE_WFRY.TXT</t>
  </si>
  <si>
    <t>AE_WFRY</t>
  </si>
  <si>
    <t>XI_MSCIW_AE_POOL.TXT</t>
  </si>
  <si>
    <t>AE_POOL</t>
  </si>
  <si>
    <t>XI_MSCIW_AE_WFSC.TXT</t>
  </si>
  <si>
    <t>AE_WFSC</t>
  </si>
  <si>
    <t>XI_MSCIW_AE_ADEO.TXT</t>
  </si>
  <si>
    <t>AE_ADEO</t>
  </si>
  <si>
    <t>XI_MSCIW_EU_ODEY.TXT</t>
  </si>
  <si>
    <t>EU_ODEY</t>
  </si>
  <si>
    <t>XI_OSX_HE_OSPE.TXT</t>
  </si>
  <si>
    <t>HE_OSPE</t>
  </si>
  <si>
    <t>XI_MSCIW_EU_JPMED.TXT</t>
  </si>
  <si>
    <t>EU_JPMED</t>
  </si>
  <si>
    <t>XI_MSCIW_AE_TAYR.TXT</t>
  </si>
  <si>
    <t>AE_TAYR</t>
  </si>
  <si>
    <t>aX_SPX_GSF.TXT</t>
  </si>
  <si>
    <t>GSF</t>
  </si>
  <si>
    <t>Martin Currie Absolute Return Funds Limited - Japan Fund</t>
  </si>
  <si>
    <t>D. Asia</t>
  </si>
  <si>
    <t>Regional Focus</t>
  </si>
  <si>
    <t xml:space="preserve">An all encompassing Long/Short Japan strategy that adopts a rigorous fundamental driven approach to invest across market caps and industry sectors. The team is managed by two PMs with extensive experiences investing in Japanese market (Keith since 1987 and John since 1998). Returns seem to be generated from cautious position sizing and stringent risk management. PM leverages on Martin Currie platform as a large Long Only investment house to gain access to company management as well as the large team of sector specialists for idea generation and market intelligence. </t>
  </si>
  <si>
    <t xml:space="preserve">The investment objective of the Japan Fund is to provide long term capital appreciation principally through an actively managed portfolio of long and short positions in Japanese equities and derivative instruments. The Japan Fund comprises the assets and investments attributable to each of the Euro Japan Fund Shares, the Yen Japan Fund Shares and the US Dollar Japan Fund Shares and this investment portfolio is managed as one portfolio in accordance with the investment objective and policies stated herein, save that the Company may, but is not obliged to, also maintain separate currency hedging positions for one or more classes of Japan Fund Shares to reflect their different base currencies. -- </t>
  </si>
  <si>
    <t>Adelante Emerging Opportunities Fund</t>
  </si>
  <si>
    <t>E. Asia</t>
  </si>
  <si>
    <t xml:space="preserve">Fund is managed by a team of 5 Emerging market veterans with strong pedigree, unparalleled experience, sound standing and extensive networks in their space. They actively leveraged on their past contacts and relationships with Emerging Markets sovereigns, and specialists at major EM investment houses (such as Citigroup, Aberdeen, Morgan Stanley, UBS, Brunswick, Goldman, Rothschild, Fortis, ING) to identify investment opportunities and build a high liquid portfolio.  Strong grasp of political and economic dynamics in emerging countries. Ability to figure out earlier than others, which countries require capital, and when, and its impact of fixed income and equities markets. </t>
  </si>
  <si>
    <t>The Fund has been established to take advantage of increased opportunities in the Emerging Markets. The Fund aims to invest in a portfolio of debt and equity instruments to provide consistent absolute returns that are non-correlated to either fixed income or equity indices. It aims to focus on specific investment opportunities which the Fund deems to offer the best risk-reward profiles across a wide and growing equity and fixed income asset class. Based on several trends which have emerged in the past years: improving local and external credit; new issuance; cross-border and internal mergers and acquisitions; privatisations; and general improved creditworthiness and corporate governance the opportunities across the spectrum of available instruments should provide the Fund with numerous, non-correlated investment opportunities.</t>
  </si>
  <si>
    <t>Beacon India Alpha Equity Fund</t>
  </si>
  <si>
    <t xml:space="preserve">Highly experienced PM with 15 years of prior experiences in Indian equities market. (Sectoral expertise, if any will need to be determined) PM has extensive knowledge of macro factors and industry insights, through leveraging on his past industry contacts with Deutsche, ING and UBS. That might serve him well during the initial years of fundÕs inception. India is a country where caste system and the firm where one works for, are of paramount important. This is especially so, when it comes to gaining access to key government and industry contacts. Working for a smaller firm may strip him of that access in 2 to 3 years down the road. --  -- </t>
  </si>
  <si>
    <t xml:space="preserve"> The Fund seeks to achieve its Investment Objective through strong research resulting in better stock selection and will exploit the various opportunities offered while managing volatility. The Fund will adopt a "bottom up" approach of stock picking, targeting stocks with high growth potential and intrinsic value with at least 18-24 months perspective. -- </t>
  </si>
  <si>
    <t>Chilton China Opportunity Fund (BVI) Ltd.</t>
  </si>
  <si>
    <t>An all-encompassing L/S Greater China strategy that adopts a strong bottom-up valuation and rigorous fundamental investment process to invest in all sectors and across market caps. Fund is supported by ChiltonÕs established firm-wide research resources and risk management frameworks. PM (Ken Chiang) has strong understanding of the macro thematic factors affecting Asian countries. Having involved in Asian equities during his Merrill Lynch days (since 1993) and living through the Asian financial crisis has taught him the importance of macro considerations in Asian investing. Extensive knowledge of the Asian market dynamics through leveraging on his past Merrill Lynch contacts and his in-laws (Hong Kong Shui On group) to derive his informational edge.  China's Investment Team is based in Singapore.</t>
  </si>
  <si>
    <t xml:space="preserve">The investment objective of the Fund is to produce superior investment returns throughout various market cycles, primarily by investing in publicly-traded debt and equity securities, derivatives and other instruments of companies and governments located in or with exposure to the China region (including The People's Republic of China ("China"), Hong Kong, Taiwan, Singapore and Macau) (the "Investment Territories"). Chilton aggressively seeks capital appreciation during market environments that are favorable to this strategy and aims to preserve the capital of the Fund during financial market periods that are unfavorable. There can be no assurance, however, that the Fund will achieve its investment objective. -- </t>
  </si>
  <si>
    <t>Everest Capital Asia Ltd.</t>
  </si>
  <si>
    <t>L/S Pan Asia fund, managed through the established Everest global platform. Weekly rigorous interactions with other fund managers enable PM (Team based in Singapore) to keep abreast of nascent global trends. Proven capabilities in formulating over-arching themes / investment ideas shaping the Asia/China region before the trends manifest globally and translating them to profitable investment ideas. Senior Asia investment professionals are locally trained and have deep entrenched networks through their past contacts established through working at Morgan Stanley, BNP Paribas, Citigroup, Franklin Templeton and China Securities. Their track record is a strong testimonial of their expertise in picking companies that are most levered to secular growth trends in Asia.</t>
  </si>
  <si>
    <t>The investment objective of the Fund is to achieve capital appreciation by investing primarily in the securities of issuers in Asia and in other countries that the Investment Manager believes will benefit or suffer from Asia's growth. The Fund may invest in a variety of securities including equity, equity-related securities and debt as well as warrants, rights, options, swaps, preferred stocks, convertible securities, currencies, money market obligations and financial instruments of any type which exist now or are hereafter created.</t>
  </si>
  <si>
    <t>Absolute Partners Fund Limited</t>
  </si>
  <si>
    <t>L/S Pan Asian Fund managed by ex- Investor AB (Swedish investment coy owned by Wallenberg family) team focusing on large-mid cap stocks with sub-sector expertise in Technology, Consumer, Financials. Having been involved in Asian equities and lived in Hong Kong since 1993, CIO (Alexander West) has a very strong acumen in sensing out Asian markets dynamics and understanding Asian values &amp; cultures, translating them into investment ideas and sizing. Evident that the Fund/CIO is in the midst of the tightly knitted Nordic Investment community, which CIO leverages on for advice, networks and market intelligence.</t>
  </si>
  <si>
    <t>The investment objective of the Fund is to achieve a high risk-adjusted absolute return. Investments are made in companies that are fundamentally under or overvalued and where we see a trigger for rerating over the next 6?12 months.. Aside from finding long term growth opportunities in Asia we seek to capitalize on its inefficient markets: Asian markets are characterized by less access to information and less public disclosure which leads to higher volatility and less efficient markets.  Investment strategy is based on finding companies where we hold a variant view from the market consensus. Macro view expressed through actively managing the net, gross, position sizing, country and industry exposures.</t>
  </si>
  <si>
    <t>Tiedemann/Ayer Asia Ltd.</t>
  </si>
  <si>
    <t>James has established a strong track record in managing the L/S Asian fund since 1997.  Having being involved with Asian equities since 1988, Jim has excellent grasp of Asian macro environment, businesses and who the key players are.  A differentiated top down thematic strategy that analyzes liquidity conditions, technicals and earning momentums and opportunistically go Long and Short the Top and Bottom companies within sectors that have the best/worst growth potential.  He actively adjusts his exposure, position sizing, trading in and out of positions, as soon as price targets are met or macro condition changes.  Being based in New York allows him to look at Asia from a US perspective and filter through all the headline noises.</t>
  </si>
  <si>
    <t>Multi-Strategy</t>
  </si>
  <si>
    <t>The fund has been formed to enable United States and non-United States investors to participate in a fund investing primarily in the securities markets of Asia and the Pacific Rim.  The primary objective of the Fund is capital appreciation.</t>
  </si>
  <si>
    <t>Value Partners Hedge Fund Limited</t>
  </si>
  <si>
    <t>L/S Greater China Fund managed through Value PartnerÕs platform, which is the largest listed Asia Fund Management Firm. Fund adopts a team-based investment approach. Investment ideas are pooled from 23 investment professionals (led by CIO Cheah Cheng Hye, his 2 Deputies and 3 Senior Fund Managers) to ensure the best of the best conviction names end up in the fund. PM (Eric Chow) picks stocks and manages exposure in consultation with CIO (Cheah), who has strong standing within Asia investment community.  --  -- Coming from a financial journalist background, enables the team to analyze events in historical, political and social context rather than through strict qualitative and statistically analysis. Managing the Fund through a large MF platform ($5 B) provides PM with the edge to to pinpoint macro factors and to keep abreast of trading flows, market dynamics in Greater China region.</t>
  </si>
  <si>
    <t>The Company operates as a feeder fund which invests in the Master Fund. All or substantially all of the assets of the Company will be invested into the Master Fund. As such, the investment objectives of the Company are identical to those of the Master Fund through which the Company invests. The principal investment objective of the Master Fund will be to seek long term capital return through an investment discipline that places emphasis on the fundamental value of potential investments. The Investment Manager will seek to achieve this objective by investing in the global financial markets, and in particular in the markets of the Greater China region (which includes the People's Republic of China, Hong Kong and Taiwan), although this will not preclude the Company from investing in other markets where opportunities are identified. There are no fixed geographical or sector weightings in the allocation of assets in the Master Fund save that if and for so long as the Company and the Master Fund are authorised by the Hong Kong Securities and Futures Commission pursuant to section 104 of the Securities and Futures Ordinance of Hong Kong, at least 70 per cent. of the Master Fund's non-cash assets will be invested in the markets or region of the Greater China region.</t>
  </si>
  <si>
    <t>WF Asia Fund Limited</t>
  </si>
  <si>
    <t>A veteran in investing in Asian equities since 1989, Scobie WardÕs edge lays in his highly specialized investment focus and rigorous fundamental research-driven investment approach, overlaying with dynamic macro views. The team actively monitored key economic, political and corporate developments that are used to help calibrate exogenous risk factors on an on-going basis. They have the nose in picking companies that are most levered to secular growth in domestic demand with high multiple future FCF. One of the oldest Asia hedge funds with track record dating back to February 2001, Scobie has built up a highly institutionalized platform and established back office team.</t>
  </si>
  <si>
    <t xml:space="preserve">The investment objective of the Fund is to achieve capital appreciation through investment primarily in the securities of companies which are listed, quoted or traded on stock exchanges and the over-the-counter ("OTC") markets in Asia and through investment in American Depository Receipts ("ADRs") and/or Global Depository Receipts ("GDRs") representing securities of companies in Asia. The Fund will also take short positions in order to both reduce net market exposure and to achieve profit. The Fund may also invest in fixed income securities issued by both governments and corporations, including convertible bonds. -- </t>
  </si>
  <si>
    <t>WF Asian Smaller Companies Fund Limited</t>
  </si>
  <si>
    <t>Rigorous fundamental valuation. Entrenched networks, deep understanding of Asia small caps' earning drivers since 1989.</t>
  </si>
  <si>
    <t>The investment objective of the Fund is to achieve capital appreciation through investment primarily in the securities of high-quality smaller companies which are listed, quoted or traded on stock exchanges and the over-the-counter ("OTC") markets in Asia. The Fund may also invest in unlisted securities which the manager feels may be offered to the public in the near future. The Fund will also take short positions in order to both reduce net market exposure and to achieve profit. The Fund may also invest in Asian fixed income securities issued by both governments and corporations, including convertible bonds. The Fund may invest in derivative instruments including, without limitation, futures contracts and options.</t>
  </si>
  <si>
    <t>OCCO Eastern European Fund</t>
  </si>
  <si>
    <t>E. Europe</t>
  </si>
  <si>
    <t>Moderate</t>
  </si>
  <si>
    <t>Having involved in long/short investing in the Emerging Europe space since 1994, Andy Wiles has excellent grasp of fund flows, country specific issues, currency and political risks impacting the region, in particular Poland and Russia. He actively factors that top down risk overlay into his rigorous bottom-up capital structure analysis and position sizing. Fund has sector expertise in Energy, Materials and Financials. Being part of Charlemagne, an emerging market specialist firm further fortified his edge, by providing him with access to extensive research and macro data to aid in his team analysis. --  -- - The manager has a long professional experience being in the Hedge Fund industry since the beginning of its carreer and more specifically in Emerging Markets. (He founded Charlemagne in 1995) -- - The fund benefits from the expertise and research of Charlemagne -- - The fund performances exhibit a very low correlation with the MSCI EM Eastern European   -- - The manager is able to generate alpha in both long and short  investments.</t>
  </si>
  <si>
    <t>The investment objective of the Fund is to generate absolute returns through investing in Eastern and Emerging European Securities.</t>
  </si>
  <si>
    <t>The Adelphi Europe Fund</t>
  </si>
  <si>
    <t>The two principals and portfolio managers are the pillar and the edge of Adelphi Capital. Roderick Jack and Marcel Jongen worked together since 1992 first at GS, then founded Adelphi in 1997. Both are fundamental analysts and not traders, thus investment decisions are based on first-hand research, thus stock selection is the value-adding component of the portfolio. Disciplined valuation technique, focused on business franchise &amp; management quality allows PM to exploit pricing inefficiencies. PM enforces to keep the team small (11 persons) and does not mind some turnover in order to bring new ideas to the portfolio.</t>
  </si>
  <si>
    <t xml:space="preserve">The investment objective of the Adelphi Europe Fund is to achieve above-average long-term capital appreciation by investing on a long and short basis primarily in the listed equity securities of European companies any by managing the Fund's market and currency exposure to reduce risk or increase returns from time to time. Individual stock selection should be the primary source of return. Opportunities to enhance capital appreciation through the use of  leverage may also be actively pursued. </t>
  </si>
  <si>
    <t>Henderson European Absolute Return Fund Limited</t>
  </si>
  <si>
    <t>Agressive</t>
  </si>
  <si>
    <t xml:space="preserve">Proven very good (above average) track record since inception with an annualized return of greater than 18%. Part of a big management firm: The manager's investment sytle (agnostic and opportunistic) may shift the portfolio to some unwilling bias. The firm formalizes some investment guidelines and provides the structure in order to stay close to these (Risk manager and IT). -- The PM's strong experience. 34 years investment experience and at Henderson since 1986. --  -- </t>
  </si>
  <si>
    <t>The FundÕs investment objective is to achieve capital growth by investing and trading primarily in the equities of European Companies, and by entering into stock lending arrangements.</t>
  </si>
  <si>
    <t>Horseman European Select Fund Ltd</t>
  </si>
  <si>
    <t xml:space="preserve">A differentiated L/S European strategy that adopts a top down thematic approach to invest across sectors (except healthcare) and market caps; an approach which is not common amongst European L/S managers. The team is led by Stephen Roberts with strong proprietary trading background in the European space since 1991. Core positions are traded around and exposures are actively managed with options &amp; futures to match return expectations and protect downside risk. StephenÕs excellent understanding of the top down sector dynamics which together with co-PM John EloffÕs bottom-up valuation expertise makes them a powerful combination. --  --  -- Stephen Roberts has a 15-year prop desk trading experience in pan-European equities. PM began at Horseman by managing money for the Global fund along with John Horseman prior to launching its own fund in 2005. Along with Stephen's market experience, his approach is top-line and thematically driven which is not common amongst European Long Short managers. All positions are money making both long and short and futures are used to manage the gross/net exposure of the fund, thus providing a very flexible approach for the manager to stick with its bottom-up conditions while hedging the portfolio versus markets. The fund is focused on few themes with at most 60 stocks. PM is a growth-oriented manager with double-digit objective and intra-month volatility. -- </t>
  </si>
  <si>
    <t>The FundÕs investment objective is to seek to provide absolute returns for investors, primarily by investing both long and short in equities with a 75 per cent bias towards European equities. Investments are expected to have a low correlation with the equity indices.</t>
  </si>
  <si>
    <t>JPMorgan Europe Dynamic Long Short Fund</t>
  </si>
  <si>
    <t>The investment strategy combines the structure and rigour of quantitative investment approaches with the insight of a fundamental stock selection approach. This is only achievable due to the resources provided by our 38-strong European investment team. As a result the Fund offers strong absolute returns, highlighted by the Fund's +18.0% p.a. performance record since inception. This is the result of true alpha generation, with a correlation of only +0.1 with the MSCI Europe Index (compared with +0.8 for the EuroHedge Europe Long Short Equity (EUR) Index). --  -- These strong absolute returns are delivered with proven downside protection versus equities. Since its launch, the Fund has delivered positive returns in 82% of months when the equity market is up and, importantly, in 68% of months when the equity market is down. --  -- Investment Team &amp; Firm: The resources that J.P. Morgan Asset Management provides to the European Behavioural Finance team in the form of both investment professionals managing money using this approach and back/middle and front office mean that this process can not be replicated. --  -- Low trading cost structure</t>
  </si>
  <si>
    <t xml:space="preserve">The investment objective of the Sub-Fund is to achieve a total return in excess of the return on short-term instruments through a long/short strategy of buying undervalued equities and equity-linked securities and by selling short overvalued equities and equity-linked securities. </t>
  </si>
  <si>
    <t>ODEY European Inc.</t>
  </si>
  <si>
    <t>The investment objective of the Fund is capital appreciation. The Investment Manager seeks to achieve this objective principally through managing a portfolio of European securities, bonds and currencies and related financial instruments and, subject to the limit below, non-European securities. -- The Fund may take long and short positions and may also invest in the following: -- (a) a full range of financial instruments including futures, options and warrants, often making use of -- leverage. The Fund may enter into swaps, repurchase and reverse repurchase agreements and stock lending transactions; -- (b) spot and forward foreign currency exchange contracts and may purchase and sell currency options, currency futures contracts and related instruments; -- (c) unquoted securities, commodity futures, government bonds, other fixed-interest securities, preferred stock and monetary instruments. The Fund may hold cash on deposit or cash equivalents pending reinvestment; -- (d) units in collective investment schemes and investment companies (including Odey Funds); and -- (e) non-European securities up to a maximum of 30 per cent of the FundÕs Net Asset Value. -- The Fund may leverage its capital by borrowing, including (but not limited to) margin lending agreements, and through the use of futures, forwards contracts, options and other derivative instruments. Save in exceptional circumstances, leverage in respect of the FundÕs positions in equities and commodities, bonds and foreign exchange will be limited as follows: -- 1. Total long and short positions in equities and commodities: 375 per cent of the Net Asset Value of -- the Fund. -- 2. Total long and short positions in bonds (on a 10 year adjusted basis): 150 per cent of the Net Asset -- Value of the Fund. -- 3. Active foreign exchange positions (excluding hedging of non-base currency and non-base currency share classes exposures): 250 per cent of the Net Asset Value of the Fund. (The leverage of -- currency positions will be determined for this purpose on the basis of either the non-base currency element of a position or, where the position relates to two non-base currencies, the element of a -- transaction of higher value as measured in the base currency). In calculating leverage for these purposes adjustments may be made, at the discretion of the Directors, to nominal or book values to reflect underlying economic exposures. There are no -- restrictions on the entry into currency forwards, futures, options and contracts for differences. The -- Investment Manager may from time to time consider hedging currency exposure. -- In addition, cash deposits may be made with banks other than the Prime Brokers and Custodians and the -- Custodian.</t>
  </si>
  <si>
    <t>Semi-Monthly</t>
  </si>
  <si>
    <t>Sector Maritime Investments Fund</t>
  </si>
  <si>
    <t>Wealth of industry expertise residing within the team of 23 investment professionals with managers experience in in the energy and maritime space since year 1991. Many of the team members, are veterans and active in the space since 1985. Value-oriented and fundamental bottom-up manager with deep understanding of the dynamic and value creation factors influencing energy companies (cost overrun, delays, overstated reserves, recovery) Investing stock by stock. PM is not market timer but closely analyzes oil price movements and factors that impact stock valuation. Positions are valued and sized, by considering (i) residual risk, (ii) equity market risk, and (iii) commodity &amp; oil price risk.</t>
  </si>
  <si>
    <t xml:space="preserve">The investment objective of the Master Fund is to deliver an investment performance, in terms of return and risk, which is greater than the long-term performance of the world equity markets. The Investment Manager believes that this performance will be attainable through the execution of a long/short investment strategy focussing on industries where the Investment Manager believes it has a good understanding of the industry dynamics and company valuations. -- </t>
  </si>
  <si>
    <t>Algebris Global Financials Fund</t>
  </si>
  <si>
    <t>Davide Serra and Eric HaletÕs rigorous deep-value investment approach, stock picking skills and strong grip on the international financial markets. Outside European and US financial sectors, DavideÕs knowledge of Latin America complements that of EricÕs strong insights on Asian financials. Both PMs have aggressive and intensive work ethics. They are opportunistic and are actively on the look out for best use of gross exposure. They, at times reduce position size or exit positions, not because their views on those stocks have changed; but more so that there are better opportunities that can maximize returns. Highly concentrated portfolio with 1-3 yr. holding period.</t>
  </si>
  <si>
    <t>The investment objective of both the Fund and the Master Fund is to achieve absolute returns. The Fund will seek to achieve its objective by investing substantially all of its assets in the Master Fund. The Master Fund will seek to achieve its investment objective by taking long and short positions in equity and debt securities of companies in the global financial services  -- sector.</t>
  </si>
  <si>
    <t>Archipelago Holdings Ltd.</t>
  </si>
  <si>
    <t>Fund of Fund</t>
  </si>
  <si>
    <t>Diversification Platform comprises of 9 Wellington L/S  Funds, primarily Sectorial Focus and managed by Wellington Top notich managers.</t>
  </si>
  <si>
    <t xml:space="preserve">The investment objective of the Company is to seek capital appreciation through investing in certain private investment funds that have been sponsored by, or may in the future be sponsored by, Wellington Global Holdings, Ltd. (the "Investment Manager") or its affiliates (collectively, the "Investment Funds"). The Company is currently invested in the following Investment Funds, each of which is available to the Company through investment in a separate class of shares of Wellington Management Investors (Bermuda), Ltd. ("WMIB"): J. Caird Investors (Bermuda) L.P. ("J. Caird"), Quissett Investors (Bermuda) L.P. ("Quissett"), Spindrift Investors (Bermuda) L.P. ("Spindrift"), Placer Creek Investors (Bermuda) L.P. ("Placer Creek"), North River Investors (Bermuda) L.P. ("North River"), Salthill Investors (Bermuda) L.P. ("Salthill"), Hazelbrook Investors (Bermuda) L.P. ("Hazelbrook"), Wolf Creek Investors (Bermuda) L.P. ("Wolf Creek") and Terrebonne Investors (Bermuda) L.P. ("Terrebonne"). Certain of the Investment Funds concentrate their investment programs in specific industries and sectors. In addition, certain of the Investment Funds will utilise short positions, leverage, options, futures and other derivatives and may invest in non-U.S. securities and illiquid securities. Wellington Management Company, LLP ("WMC" or the "Investment Sub-Adviser") is the investment sub-adviser to each underlying Investment Fund. -- </t>
  </si>
  <si>
    <t>Chilton Small Cap International (BVI) Ltd.</t>
  </si>
  <si>
    <t>Senior research team, led by a Manager that adopted an extremely strong bottom-up valuation and rigorous fundamental investment process. Manager has strong networks and deep understanding of the dynamics affecting the small-cap space from his Prudential and Merrill Lynch days of modeling / researching small-cap stocks since 1990. He and his analysts have models for all the 2,700 stocks in the universe that they focus on. Returns and low volatility are managed by precise security selection and cautious position sizing.  --  -- Ideas are generated using a research-intensive approach. Chilton maintains a large analytical staff, which internally generates research and ideas. In doing so, we use many sources, including company visits, trade shows, conferences, publications, news services, quantitative and qualitative systems and brokers. Each of our analysts typically focuses on one or more specific industries, and therefore develops significant expertise with respect to such industries. Their goal is to identify winners and losers within each of these industries, utilizing quantitative and qualitative analysis, in an effort to generate both long and short ideas.</t>
  </si>
  <si>
    <t>To produce superior investment returns throughout various market cycles, primarily by investing in the securities of smaller capitalization companies (including but not limited to companies with a market capitalization below $2.5 billion) with strong, experienced management teams and significant revenue and earnings potential.</t>
  </si>
  <si>
    <t>Ospraie Equity Fund Ltd.</t>
  </si>
  <si>
    <t>The primary investment objective of the Fund is the appreciation of capital through active trading and investment (through the Master Fund) on a global basis primarily in publicly traded equity securities and related derivative instruments of companies relating to the "Commodity and Basic Industries," which include, but are not limited to, energy, industrials, materials, agriculture, transportation and associated markets.</t>
  </si>
  <si>
    <t xml:space="preserve">Puma Sphera </t>
  </si>
  <si>
    <t>MENA</t>
  </si>
  <si>
    <t>Highly experienced PM (Ex-Head of JPMorgan in Israel) leading a seasoned team of 10 investment professionals with strong proprietary desk background. Bottom-up fundamental driven approach, deep value focus, specializing in global companies HQ in Israel. PMÕs extensive networks with Israeli companiesÕ management and long term relationships with pensions &amp; endowment funds provided him with informational edge into fund flows and evolving companiesÕ dynamics. The fund is a pioneer in hedge fund investing in Israeli market with the longest track record.</t>
  </si>
  <si>
    <t xml:space="preserve">The Company will invest all of its assets (to the extent not retained in cash) in shares of the Master Fund. The investment objective of the Master Fund is to generate long term capital appreciation and superior risk-adjusted returns through investment primarily, but not exclusively, in the securities of Israeli and Israeli-related companies listed on the Israeli, US and European stock exchanges. There can be no assurance that the investment objective will be achieved. </t>
  </si>
  <si>
    <t>Tiger Global Ltd</t>
  </si>
  <si>
    <t>Chase Coleman is very intense, research driven with strong stock picking capabilities.  Chase is opportunistic enough to trade around core positions and event driven situations. Besides surrounding himself by experienced portfolio managers at the Tiger offices, he has built a team of very smart &amp; driven analysts with excellent pedigree. The fund has grown beyond US technology, since inception in June 02 to a Global mandate. Chase is the blue eyed boy of Julian Robertson. By leveraging the Tiger network and his deep connections in US and North Asian markets, he has developed an edge through privileged access to proprietary information and under-researched companies.  Lookout For: we should lookout for his youth and the young average age of his team (early to mid 30s).  Being young and highly paid, may lead them to push beyond the envelope to obtain that informational edge.</t>
  </si>
  <si>
    <t xml:space="preserve">The Fund seeks to achieve long term capital appreciation through the combination of long and short investments in the securities of technology and technology related companies.  </t>
  </si>
  <si>
    <t>Yearly</t>
  </si>
  <si>
    <t>Chart 2</t>
  </si>
  <si>
    <t>components of return</t>
  </si>
  <si>
    <t>2F6_ALG</t>
  </si>
  <si>
    <t>1XI_IXF</t>
  </si>
  <si>
    <r>
      <t xml:space="preserve">xxxxx | </t>
    </r>
    <r>
      <rPr>
        <b/>
        <sz val="14"/>
        <color indexed="8"/>
        <rFont val="Myriad Pro"/>
      </rPr>
      <t>manager performance anlaysis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</si>
</sst>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0.0%"/>
    <numFmt numFmtId="166" formatCode="&quot;$&quot;#,##0"/>
    <numFmt numFmtId="167" formatCode="&quot;$&quot;#,##0.00"/>
  </numFmts>
  <fonts count="45">
    <font>
      <sz val="12"/>
      <color indexed="8"/>
      <name val="Calibri"/>
      <family val="2"/>
    </font>
    <font>
      <sz val="11"/>
      <name val="Myriad Web"/>
    </font>
    <font>
      <sz val="10"/>
      <name val="Trebuchet MS"/>
      <family val="2"/>
    </font>
    <font>
      <sz val="10"/>
      <name val="Verdana"/>
      <family val="2"/>
    </font>
    <font>
      <b/>
      <sz val="10"/>
      <color indexed="10"/>
      <name val="Trebuchet MS"/>
      <family val="2"/>
    </font>
    <font>
      <b/>
      <sz val="10"/>
      <name val="Trebuchet MS"/>
      <family val="2"/>
    </font>
    <font>
      <sz val="12"/>
      <color indexed="8"/>
      <name val="Calibri"/>
      <family val="2"/>
    </font>
    <font>
      <sz val="12"/>
      <name val="Myriad Pro"/>
    </font>
    <font>
      <sz val="8"/>
      <name val="Calibri"/>
      <family val="2"/>
    </font>
    <font>
      <sz val="10"/>
      <name val="Arial"/>
      <family val="2"/>
    </font>
    <font>
      <sz val="8"/>
      <name val="Verdana"/>
      <family val="2"/>
    </font>
    <font>
      <b/>
      <sz val="16"/>
      <color indexed="10"/>
      <name val="Arial"/>
      <family val="2"/>
    </font>
    <font>
      <sz val="10"/>
      <color indexed="10"/>
      <name val="Arial"/>
      <family val="2"/>
    </font>
    <font>
      <b/>
      <sz val="20"/>
      <name val="Arial"/>
      <family val="2"/>
    </font>
    <font>
      <b/>
      <sz val="14"/>
      <color indexed="10"/>
      <name val="Arial"/>
      <family val="2"/>
    </font>
    <font>
      <b/>
      <sz val="14"/>
      <name val="Arial"/>
      <family val="2"/>
    </font>
    <font>
      <b/>
      <sz val="10"/>
      <color indexed="10"/>
      <name val="Arial"/>
      <family val="2"/>
    </font>
    <font>
      <b/>
      <sz val="12"/>
      <color indexed="10"/>
      <name val="Arial"/>
      <family val="2"/>
    </font>
    <font>
      <b/>
      <sz val="12"/>
      <name val="Arial"/>
      <family val="2"/>
    </font>
    <font>
      <sz val="12"/>
      <name val="Arial"/>
      <family val="2"/>
    </font>
    <font>
      <b/>
      <sz val="9"/>
      <color indexed="10"/>
      <name val="Arial"/>
      <family val="2"/>
    </font>
    <font>
      <b/>
      <sz val="10"/>
      <name val="Arial"/>
      <family val="2"/>
    </font>
    <font>
      <sz val="11"/>
      <name val="Arial"/>
      <family val="2"/>
    </font>
    <font>
      <b/>
      <sz val="9"/>
      <color indexed="81"/>
      <name val="Calibri"/>
      <family val="2"/>
    </font>
    <font>
      <sz val="9"/>
      <color indexed="81"/>
      <name val="Calibri"/>
      <family val="2"/>
    </font>
    <font>
      <sz val="12"/>
      <color indexed="8"/>
      <name val="Arial"/>
      <family val="2"/>
    </font>
    <font>
      <b/>
      <sz val="12"/>
      <color indexed="8"/>
      <name val="Arial"/>
      <family val="2"/>
    </font>
    <font>
      <b/>
      <u/>
      <sz val="12"/>
      <color indexed="8"/>
      <name val="Arial"/>
      <family val="2"/>
    </font>
    <font>
      <u/>
      <sz val="12"/>
      <color indexed="8"/>
      <name val="Arial"/>
      <family val="2"/>
    </font>
    <font>
      <i/>
      <sz val="12"/>
      <color indexed="8"/>
      <name val="Arial"/>
      <family val="2"/>
    </font>
    <font>
      <b/>
      <i/>
      <sz val="12"/>
      <color indexed="8"/>
      <name val="Arial"/>
      <family val="2"/>
    </font>
    <font>
      <i/>
      <sz val="8"/>
      <color indexed="8"/>
      <name val="Myriad Pro"/>
    </font>
    <font>
      <sz val="8"/>
      <color indexed="8"/>
      <name val="Myriad Pro"/>
    </font>
    <font>
      <b/>
      <sz val="8"/>
      <color indexed="8"/>
      <name val="Myriad Pro"/>
    </font>
    <font>
      <sz val="14"/>
      <color indexed="8"/>
      <name val="Myriad Pro"/>
    </font>
    <font>
      <b/>
      <sz val="14"/>
      <color indexed="8"/>
      <name val="Myriad Pro"/>
    </font>
    <font>
      <sz val="12"/>
      <color indexed="8"/>
      <name val="Gill Sans"/>
    </font>
    <font>
      <sz val="8"/>
      <color indexed="8"/>
      <name val="Gill Sans"/>
    </font>
    <font>
      <b/>
      <sz val="8"/>
      <color indexed="8"/>
      <name val="Gill Sans"/>
    </font>
    <font>
      <b/>
      <u/>
      <sz val="9"/>
      <color indexed="81"/>
      <name val="Calibri"/>
      <family val="2"/>
    </font>
    <font>
      <b/>
      <sz val="12"/>
      <color indexed="8"/>
      <name val="Arial"/>
      <family val="2"/>
    </font>
    <font>
      <u/>
      <sz val="12"/>
      <color theme="10"/>
      <name val="Calibri"/>
      <family val="2"/>
    </font>
    <font>
      <u/>
      <sz val="12"/>
      <color theme="11"/>
      <name val="Calibri"/>
      <family val="2"/>
    </font>
    <font>
      <b/>
      <sz val="11"/>
      <color rgb="FF000000"/>
      <name val="Lucida Grande"/>
    </font>
    <font>
      <b/>
      <sz val="12"/>
      <color rgb="FF000000"/>
      <name val="Calibri"/>
      <family val="2"/>
    </font>
  </fonts>
  <fills count="8">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51"/>
        <bgColor indexed="64"/>
      </patternFill>
    </fill>
    <fill>
      <patternFill patternType="solid">
        <fgColor indexed="47"/>
        <bgColor indexed="64"/>
      </patternFill>
    </fill>
  </fills>
  <borders count="25">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8"/>
      </left>
      <right/>
      <top style="thin">
        <color indexed="8"/>
      </top>
      <bottom/>
      <diagonal/>
    </border>
    <border>
      <left style="medium">
        <color auto="1"/>
      </left>
      <right style="medium">
        <color auto="1"/>
      </right>
      <top style="medium">
        <color auto="1"/>
      </top>
      <bottom style="medium">
        <color auto="1"/>
      </bottom>
      <diagonal/>
    </border>
    <border>
      <left style="thin">
        <color indexed="8"/>
      </left>
      <right/>
      <top/>
      <bottom/>
      <diagonal/>
    </border>
    <border>
      <left/>
      <right style="thin">
        <color indexed="8"/>
      </right>
      <top/>
      <bottom/>
      <diagonal/>
    </border>
    <border>
      <left style="thin">
        <color indexed="8"/>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thick">
        <color auto="1"/>
      </right>
      <top style="thick">
        <color auto="1"/>
      </top>
      <bottom style="thick">
        <color auto="1"/>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s>
  <cellStyleXfs count="190">
    <xf numFmtId="0" fontId="0" fillId="0" borderId="0"/>
    <xf numFmtId="43" fontId="6"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 fillId="0" borderId="0"/>
    <xf numFmtId="0" fontId="3" fillId="0" borderId="0"/>
    <xf numFmtId="9" fontId="6" fillId="0" borderId="0" applyFont="0" applyFill="0" applyBorder="0" applyAlignment="0" applyProtection="0"/>
    <xf numFmtId="9" fontId="9" fillId="0" borderId="0" applyFon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36">
    <xf numFmtId="0" fontId="0" fillId="0" borderId="0" xfId="0"/>
    <xf numFmtId="0" fontId="2" fillId="0" borderId="0" xfId="4" applyFont="1"/>
    <xf numFmtId="0" fontId="2" fillId="0" borderId="0" xfId="5" applyFont="1"/>
    <xf numFmtId="0" fontId="4" fillId="0" borderId="0" xfId="4" applyFont="1" applyAlignment="1">
      <alignment horizontal="right"/>
    </xf>
    <xf numFmtId="0" fontId="2" fillId="0" borderId="0" xfId="5" applyFont="1" applyAlignment="1">
      <alignment horizontal="center"/>
    </xf>
    <xf numFmtId="0" fontId="5" fillId="0" borderId="0" xfId="5" applyFont="1"/>
    <xf numFmtId="0" fontId="6" fillId="0" borderId="0" xfId="4" applyFont="1"/>
    <xf numFmtId="0" fontId="7" fillId="0" borderId="0" xfId="4" applyFont="1"/>
    <xf numFmtId="0" fontId="2" fillId="0" borderId="0" xfId="4" applyFont="1" applyAlignment="1">
      <alignment vertical="center"/>
    </xf>
    <xf numFmtId="49" fontId="2" fillId="0" borderId="0" xfId="4" applyNumberFormat="1" applyFont="1" applyAlignment="1">
      <alignment vertical="center"/>
    </xf>
    <xf numFmtId="0" fontId="5" fillId="0" borderId="0" xfId="4" applyFont="1"/>
    <xf numFmtId="7" fontId="0" fillId="0" borderId="0" xfId="0" applyNumberFormat="1"/>
    <xf numFmtId="14" fontId="0" fillId="0" borderId="0" xfId="0" applyNumberFormat="1"/>
    <xf numFmtId="10" fontId="0" fillId="0" borderId="0" xfId="0" applyNumberFormat="1"/>
    <xf numFmtId="9" fontId="0" fillId="0" borderId="0" xfId="0" applyNumberFormat="1"/>
    <xf numFmtId="0" fontId="11" fillId="0" borderId="0" xfId="4" applyFont="1" applyAlignment="1">
      <alignment vertical="center"/>
    </xf>
    <xf numFmtId="0" fontId="12" fillId="0" borderId="0" xfId="4" applyFont="1"/>
    <xf numFmtId="0" fontId="9" fillId="0" borderId="0" xfId="4" applyFont="1"/>
    <xf numFmtId="0" fontId="13" fillId="0" borderId="0" xfId="4" applyFont="1"/>
    <xf numFmtId="0" fontId="14" fillId="0" borderId="0" xfId="4" applyFont="1"/>
    <xf numFmtId="0" fontId="15" fillId="2" borderId="0" xfId="4" applyFont="1" applyFill="1" applyAlignment="1">
      <alignment horizontal="center"/>
    </xf>
    <xf numFmtId="43" fontId="16" fillId="0" borderId="0" xfId="2" applyFont="1"/>
    <xf numFmtId="164" fontId="15" fillId="3" borderId="0" xfId="2" applyNumberFormat="1" applyFont="1" applyFill="1" applyAlignment="1">
      <alignment horizontal="center"/>
    </xf>
    <xf numFmtId="165" fontId="15" fillId="3" borderId="0" xfId="7" applyNumberFormat="1" applyFont="1" applyFill="1" applyAlignment="1">
      <alignment horizontal="center"/>
    </xf>
    <xf numFmtId="10" fontId="15" fillId="3" borderId="0" xfId="7" applyNumberFormat="1" applyFont="1" applyFill="1" applyAlignment="1">
      <alignment horizontal="center"/>
    </xf>
    <xf numFmtId="10" fontId="15" fillId="3" borderId="0" xfId="4" applyNumberFormat="1" applyFont="1" applyFill="1"/>
    <xf numFmtId="165" fontId="15" fillId="3" borderId="0" xfId="7" applyNumberFormat="1" applyFont="1" applyFill="1" applyAlignment="1">
      <alignment horizontal="right"/>
    </xf>
    <xf numFmtId="0" fontId="17" fillId="4" borderId="0" xfId="4" applyFont="1" applyFill="1" applyAlignment="1">
      <alignment vertical="center"/>
    </xf>
    <xf numFmtId="0" fontId="18" fillId="0" borderId="1" xfId="4" applyFont="1" applyBorder="1" applyAlignment="1">
      <alignment vertical="center"/>
    </xf>
    <xf numFmtId="0" fontId="17" fillId="4" borderId="2" xfId="4" applyFont="1" applyFill="1" applyBorder="1" applyAlignment="1">
      <alignment horizontal="left" vertical="center"/>
    </xf>
    <xf numFmtId="0" fontId="17" fillId="4" borderId="3" xfId="4" applyFont="1" applyFill="1" applyBorder="1" applyAlignment="1">
      <alignment horizontal="left" vertical="center"/>
    </xf>
    <xf numFmtId="10" fontId="18" fillId="0" borderId="1" xfId="7" applyNumberFormat="1" applyFont="1" applyBorder="1" applyAlignment="1">
      <alignment vertical="center"/>
    </xf>
    <xf numFmtId="10" fontId="17" fillId="4" borderId="2" xfId="7" applyNumberFormat="1" applyFont="1" applyFill="1" applyBorder="1" applyAlignment="1">
      <alignment horizontal="left" vertical="center"/>
    </xf>
    <xf numFmtId="0" fontId="17" fillId="4" borderId="3" xfId="4" applyFont="1" applyFill="1" applyBorder="1" applyAlignment="1">
      <alignment horizontal="center" vertical="center"/>
    </xf>
    <xf numFmtId="0" fontId="19" fillId="0" borderId="0" xfId="4" applyFont="1" applyAlignment="1">
      <alignment vertical="center"/>
    </xf>
    <xf numFmtId="0" fontId="18" fillId="0" borderId="0" xfId="4" applyFont="1" applyAlignment="1">
      <alignment vertical="center"/>
    </xf>
    <xf numFmtId="0" fontId="20" fillId="4" borderId="2" xfId="4" applyFont="1" applyFill="1" applyBorder="1" applyAlignment="1">
      <alignment horizontal="left" vertical="center"/>
    </xf>
    <xf numFmtId="0" fontId="17" fillId="4" borderId="2" xfId="4" applyFont="1" applyFill="1" applyBorder="1" applyAlignment="1">
      <alignment horizontal="left" vertical="center" wrapText="1"/>
    </xf>
    <xf numFmtId="0" fontId="17" fillId="4" borderId="3" xfId="4" applyFont="1" applyFill="1" applyBorder="1" applyAlignment="1">
      <alignment horizontal="left" vertical="center" wrapText="1"/>
    </xf>
    <xf numFmtId="0" fontId="19" fillId="0" borderId="0" xfId="4" applyFont="1"/>
    <xf numFmtId="0" fontId="18" fillId="0" borderId="0" xfId="4" applyFont="1" applyAlignment="1">
      <alignment horizontal="center" vertical="center"/>
    </xf>
    <xf numFmtId="0" fontId="19" fillId="0" borderId="0" xfId="4" applyFont="1" applyAlignment="1">
      <alignment horizontal="right" vertical="center"/>
    </xf>
    <xf numFmtId="0" fontId="21" fillId="0" borderId="4" xfId="4" applyFont="1" applyBorder="1"/>
    <xf numFmtId="0" fontId="21" fillId="0" borderId="1" xfId="4" applyFont="1" applyBorder="1"/>
    <xf numFmtId="0" fontId="21" fillId="0" borderId="2" xfId="4" applyFont="1" applyBorder="1"/>
    <xf numFmtId="0" fontId="21" fillId="0" borderId="3" xfId="4" applyFont="1" applyBorder="1"/>
    <xf numFmtId="10" fontId="21" fillId="0" borderId="1" xfId="7" applyNumberFormat="1" applyFont="1" applyBorder="1"/>
    <xf numFmtId="10" fontId="21" fillId="0" borderId="2" xfId="7" applyNumberFormat="1" applyFont="1" applyBorder="1"/>
    <xf numFmtId="10" fontId="21" fillId="0" borderId="1" xfId="4" applyNumberFormat="1" applyFont="1" applyBorder="1" applyAlignment="1">
      <alignment horizontal="center"/>
    </xf>
    <xf numFmtId="0" fontId="21" fillId="0" borderId="5" xfId="4" applyFont="1" applyBorder="1"/>
    <xf numFmtId="10" fontId="16" fillId="0" borderId="1" xfId="2" applyNumberFormat="1" applyFont="1" applyBorder="1" applyAlignment="1">
      <alignment horizontal="center"/>
    </xf>
    <xf numFmtId="10" fontId="21" fillId="0" borderId="2" xfId="4" applyNumberFormat="1" applyFont="1" applyBorder="1"/>
    <xf numFmtId="0" fontId="21" fillId="2" borderId="1" xfId="4" applyFont="1" applyFill="1" applyBorder="1"/>
    <xf numFmtId="0" fontId="21" fillId="2" borderId="2" xfId="4" applyFont="1" applyFill="1" applyBorder="1"/>
    <xf numFmtId="0" fontId="21" fillId="2" borderId="3" xfId="4" applyFont="1" applyFill="1" applyBorder="1"/>
    <xf numFmtId="0" fontId="21" fillId="0" borderId="5" xfId="4" applyFont="1" applyBorder="1" applyAlignment="1">
      <alignment horizontal="center"/>
    </xf>
    <xf numFmtId="10" fontId="16" fillId="0" borderId="1" xfId="2" applyNumberFormat="1" applyFont="1" applyBorder="1"/>
    <xf numFmtId="10" fontId="21" fillId="0" borderId="3" xfId="4" applyNumberFormat="1" applyFont="1" applyBorder="1"/>
    <xf numFmtId="43" fontId="21" fillId="5" borderId="1" xfId="2" applyFont="1" applyFill="1" applyBorder="1" applyAlignment="1">
      <alignment horizontal="right"/>
    </xf>
    <xf numFmtId="0" fontId="21" fillId="5" borderId="2" xfId="4" applyFont="1" applyFill="1" applyBorder="1" applyAlignment="1">
      <alignment horizontal="right"/>
    </xf>
    <xf numFmtId="43" fontId="21" fillId="5" borderId="2" xfId="2" applyFont="1" applyFill="1" applyBorder="1" applyAlignment="1">
      <alignment horizontal="right"/>
    </xf>
    <xf numFmtId="43" fontId="21" fillId="5" borderId="3" xfId="2" applyFont="1" applyFill="1" applyBorder="1"/>
    <xf numFmtId="2" fontId="21" fillId="0" borderId="1" xfId="4" applyNumberFormat="1" applyFont="1" applyBorder="1" applyAlignment="1">
      <alignment horizontal="right"/>
    </xf>
    <xf numFmtId="0" fontId="21" fillId="0" borderId="2" xfId="4" applyFont="1" applyBorder="1" applyAlignment="1">
      <alignment horizontal="right"/>
    </xf>
    <xf numFmtId="43" fontId="21" fillId="0" borderId="2" xfId="2" applyFont="1" applyBorder="1" applyAlignment="1">
      <alignment horizontal="right"/>
    </xf>
    <xf numFmtId="0" fontId="21" fillId="0" borderId="1" xfId="4" applyFont="1" applyBorder="1" applyAlignment="1">
      <alignment horizontal="left"/>
    </xf>
    <xf numFmtId="0" fontId="21" fillId="0" borderId="3" xfId="4" applyFont="1" applyBorder="1" applyAlignment="1">
      <alignment horizontal="right"/>
    </xf>
    <xf numFmtId="0" fontId="21" fillId="0" borderId="0" xfId="4" applyFont="1"/>
    <xf numFmtId="0" fontId="18" fillId="0" borderId="0" xfId="4" applyFont="1" applyAlignment="1">
      <alignment horizontal="left"/>
    </xf>
    <xf numFmtId="10" fontId="18" fillId="4" borderId="0" xfId="4" applyNumberFormat="1" applyFont="1" applyFill="1" applyAlignment="1">
      <alignment horizontal="center"/>
    </xf>
    <xf numFmtId="164" fontId="18" fillId="0" borderId="0" xfId="1" applyNumberFormat="1" applyFont="1" applyAlignment="1">
      <alignment horizontal="right"/>
    </xf>
    <xf numFmtId="9" fontId="19" fillId="0" borderId="0" xfId="4" applyNumberFormat="1" applyFont="1"/>
    <xf numFmtId="17" fontId="22" fillId="0" borderId="4" xfId="4" applyNumberFormat="1" applyFont="1" applyBorder="1"/>
    <xf numFmtId="10" fontId="22" fillId="5" borderId="6" xfId="4" applyNumberFormat="1" applyFont="1" applyFill="1" applyBorder="1"/>
    <xf numFmtId="10" fontId="22" fillId="5" borderId="0" xfId="4" applyNumberFormat="1" applyFont="1" applyFill="1"/>
    <xf numFmtId="10" fontId="22" fillId="5" borderId="7" xfId="4" applyNumberFormat="1" applyFont="1" applyFill="1" applyBorder="1"/>
    <xf numFmtId="44" fontId="9" fillId="0" borderId="0" xfId="3"/>
    <xf numFmtId="10" fontId="22" fillId="5" borderId="8" xfId="4" applyNumberFormat="1" applyFont="1" applyFill="1" applyBorder="1"/>
    <xf numFmtId="10" fontId="22" fillId="0" borderId="0" xfId="4" applyNumberFormat="1" applyFont="1"/>
    <xf numFmtId="165" fontId="15" fillId="2" borderId="0" xfId="4" applyNumberFormat="1" applyFont="1" applyFill="1"/>
    <xf numFmtId="165" fontId="9" fillId="5" borderId="0" xfId="7" applyNumberFormat="1" applyFill="1"/>
    <xf numFmtId="43" fontId="15" fillId="3" borderId="0" xfId="4" applyNumberFormat="1" applyFont="1" applyFill="1"/>
    <xf numFmtId="44" fontId="9" fillId="5" borderId="0" xfId="3" applyFill="1"/>
    <xf numFmtId="0" fontId="9" fillId="5" borderId="0" xfId="4" applyFont="1" applyFill="1"/>
    <xf numFmtId="17" fontId="9" fillId="5" borderId="0" xfId="4" applyNumberFormat="1" applyFont="1" applyFill="1"/>
    <xf numFmtId="10" fontId="9" fillId="5" borderId="0" xfId="4" applyNumberFormat="1" applyFont="1" applyFill="1"/>
    <xf numFmtId="10" fontId="15" fillId="5" borderId="0" xfId="4" applyNumberFormat="1" applyFont="1" applyFill="1"/>
    <xf numFmtId="17" fontId="9" fillId="0" borderId="0" xfId="4" applyNumberFormat="1" applyFont="1"/>
    <xf numFmtId="10" fontId="9" fillId="0" borderId="0" xfId="4" applyNumberFormat="1" applyFont="1"/>
    <xf numFmtId="9" fontId="9" fillId="5" borderId="0" xfId="4" applyNumberFormat="1" applyFont="1" applyFill="1" applyAlignment="1">
      <alignment horizontal="center"/>
    </xf>
    <xf numFmtId="0" fontId="19" fillId="5" borderId="0" xfId="4" applyFont="1" applyFill="1"/>
    <xf numFmtId="0" fontId="18" fillId="4" borderId="0" xfId="4" applyFont="1" applyFill="1" applyAlignment="1">
      <alignment horizontal="center" vertical="center"/>
    </xf>
    <xf numFmtId="164" fontId="19" fillId="0" borderId="0" xfId="1" applyNumberFormat="1" applyFont="1" applyAlignment="1">
      <alignment horizontal="right" vertical="center"/>
    </xf>
    <xf numFmtId="9" fontId="19" fillId="0" borderId="0" xfId="4" applyNumberFormat="1" applyFont="1" applyAlignment="1">
      <alignment vertical="center"/>
    </xf>
    <xf numFmtId="17" fontId="22" fillId="0" borderId="6" xfId="4" applyNumberFormat="1" applyFont="1" applyBorder="1"/>
    <xf numFmtId="165" fontId="9" fillId="0" borderId="0" xfId="4" applyNumberFormat="1" applyFont="1"/>
    <xf numFmtId="165" fontId="15" fillId="5" borderId="0" xfId="7" applyNumberFormat="1" applyFont="1" applyFill="1"/>
    <xf numFmtId="44" fontId="15" fillId="6" borderId="0" xfId="3" applyFont="1" applyFill="1"/>
    <xf numFmtId="10" fontId="9" fillId="5" borderId="0" xfId="7" applyNumberFormat="1" applyFill="1"/>
    <xf numFmtId="10" fontId="9" fillId="5" borderId="0" xfId="7" applyNumberFormat="1" applyFill="1" applyAlignment="1">
      <alignment horizontal="right"/>
    </xf>
    <xf numFmtId="10" fontId="9" fillId="0" borderId="0" xfId="7" applyNumberFormat="1"/>
    <xf numFmtId="10" fontId="9" fillId="0" borderId="0" xfId="7" applyNumberFormat="1" applyAlignment="1">
      <alignment horizontal="right"/>
    </xf>
    <xf numFmtId="1" fontId="19" fillId="5" borderId="0" xfId="4" applyNumberFormat="1" applyFont="1" applyFill="1"/>
    <xf numFmtId="0" fontId="18" fillId="0" borderId="0" xfId="4" applyFont="1" applyAlignment="1">
      <alignment horizontal="left" vertical="center"/>
    </xf>
    <xf numFmtId="0" fontId="18" fillId="4" borderId="0" xfId="4" applyFont="1" applyFill="1" applyAlignment="1">
      <alignment horizontal="center"/>
    </xf>
    <xf numFmtId="164" fontId="19" fillId="0" borderId="0" xfId="1" applyNumberFormat="1" applyFont="1" applyAlignment="1">
      <alignment horizontal="right"/>
    </xf>
    <xf numFmtId="9" fontId="19" fillId="0" borderId="0" xfId="6" applyFont="1"/>
    <xf numFmtId="0" fontId="18" fillId="3" borderId="0" xfId="4" applyFont="1" applyFill="1" applyAlignment="1">
      <alignment horizontal="left"/>
    </xf>
    <xf numFmtId="0" fontId="19" fillId="0" borderId="0" xfId="4" applyFont="1" applyAlignment="1">
      <alignment horizontal="left"/>
    </xf>
    <xf numFmtId="9" fontId="19" fillId="3" borderId="0" xfId="4" applyNumberFormat="1" applyFont="1" applyFill="1"/>
    <xf numFmtId="164" fontId="19" fillId="3" borderId="0" xfId="1" applyNumberFormat="1" applyFont="1" applyFill="1" applyAlignment="1">
      <alignment horizontal="right"/>
    </xf>
    <xf numFmtId="10" fontId="15" fillId="2" borderId="0" xfId="7" applyNumberFormat="1" applyFont="1" applyFill="1"/>
    <xf numFmtId="10" fontId="15" fillId="2" borderId="0" xfId="4" applyNumberFormat="1" applyFont="1" applyFill="1"/>
    <xf numFmtId="43" fontId="15" fillId="2" borderId="0" xfId="2" applyFont="1" applyFill="1"/>
    <xf numFmtId="0" fontId="15" fillId="2" borderId="0" xfId="4" applyFont="1" applyFill="1"/>
    <xf numFmtId="43" fontId="9" fillId="5" borderId="0" xfId="2" applyFill="1"/>
    <xf numFmtId="17" fontId="22" fillId="0" borderId="9" xfId="4" applyNumberFormat="1" applyFont="1" applyBorder="1"/>
    <xf numFmtId="10" fontId="22" fillId="5" borderId="9" xfId="4" applyNumberFormat="1" applyFont="1" applyFill="1" applyBorder="1"/>
    <xf numFmtId="10" fontId="22" fillId="5" borderId="10" xfId="4" applyNumberFormat="1" applyFont="1" applyFill="1" applyBorder="1"/>
    <xf numFmtId="10" fontId="22" fillId="5" borderId="11" xfId="4" applyNumberFormat="1" applyFont="1" applyFill="1" applyBorder="1"/>
    <xf numFmtId="0" fontId="22" fillId="0" borderId="0" xfId="4" applyFont="1"/>
    <xf numFmtId="165" fontId="9" fillId="0" borderId="0" xfId="7" applyNumberFormat="1"/>
    <xf numFmtId="0" fontId="11" fillId="0" borderId="0" xfId="0" applyFont="1" applyAlignment="1">
      <alignment horizontal="center" vertical="center"/>
    </xf>
    <xf numFmtId="0" fontId="11" fillId="0" borderId="0" xfId="0" applyFont="1" applyAlignment="1">
      <alignment horizontal="left" vertical="center"/>
    </xf>
    <xf numFmtId="0" fontId="25" fillId="0" borderId="0" xfId="0" applyFont="1"/>
    <xf numFmtId="49" fontId="25" fillId="0" borderId="0" xfId="0" applyNumberFormat="1" applyFont="1"/>
    <xf numFmtId="0" fontId="26" fillId="0" borderId="0" xfId="0" applyFont="1"/>
    <xf numFmtId="0" fontId="25" fillId="4" borderId="0" xfId="0" applyFont="1" applyFill="1"/>
    <xf numFmtId="0" fontId="19" fillId="0" borderId="0" xfId="0" applyFont="1"/>
    <xf numFmtId="0" fontId="18" fillId="0" borderId="0" xfId="0" applyFont="1" applyAlignment="1">
      <alignment horizontal="center" vertical="center"/>
    </xf>
    <xf numFmtId="0" fontId="19" fillId="0" borderId="0" xfId="0" applyFont="1" applyAlignment="1">
      <alignment horizontal="left"/>
    </xf>
    <xf numFmtId="0" fontId="19" fillId="0" borderId="0" xfId="0" applyFont="1" applyAlignment="1">
      <alignment vertical="center"/>
    </xf>
    <xf numFmtId="0" fontId="19" fillId="4" borderId="0" xfId="0" applyFont="1" applyFill="1" applyAlignment="1">
      <alignment horizontal="center" vertical="center"/>
    </xf>
    <xf numFmtId="0" fontId="19" fillId="0" borderId="0" xfId="0" applyFont="1" applyAlignment="1">
      <alignment horizontal="left" vertical="center"/>
    </xf>
    <xf numFmtId="0" fontId="19" fillId="4" borderId="0" xfId="0" applyFont="1" applyFill="1" applyAlignment="1">
      <alignment horizontal="center"/>
    </xf>
    <xf numFmtId="0" fontId="18" fillId="0" borderId="0" xfId="0" applyFont="1" applyAlignment="1">
      <alignment horizontal="left"/>
    </xf>
    <xf numFmtId="0" fontId="26" fillId="4" borderId="0" xfId="0" applyFont="1" applyFill="1" applyAlignment="1">
      <alignment horizontal="center"/>
    </xf>
    <xf numFmtId="0" fontId="26" fillId="0" borderId="0" xfId="0" applyFont="1" applyAlignment="1">
      <alignment horizontal="center"/>
    </xf>
    <xf numFmtId="0" fontId="28" fillId="0" borderId="0" xfId="0" applyFont="1"/>
    <xf numFmtId="0" fontId="25" fillId="0" borderId="0" xfId="0" applyFont="1" applyAlignment="1">
      <alignment horizontal="center"/>
    </xf>
    <xf numFmtId="49" fontId="25" fillId="4" borderId="0" xfId="0" applyNumberFormat="1" applyFont="1" applyFill="1"/>
    <xf numFmtId="10" fontId="6" fillId="0" borderId="0" xfId="4" applyNumberFormat="1" applyFont="1"/>
    <xf numFmtId="8" fontId="6" fillId="0" borderId="0" xfId="4" applyNumberFormat="1" applyFont="1"/>
    <xf numFmtId="10" fontId="2" fillId="0" borderId="0" xfId="5" applyNumberFormat="1" applyFont="1"/>
    <xf numFmtId="10" fontId="2" fillId="0" borderId="0" xfId="5" applyNumberFormat="1" applyFont="1" applyAlignment="1">
      <alignment horizontal="center"/>
    </xf>
    <xf numFmtId="8" fontId="2" fillId="0" borderId="0" xfId="5" applyNumberFormat="1" applyFont="1"/>
    <xf numFmtId="10" fontId="2" fillId="0" borderId="0" xfId="4" applyNumberFormat="1" applyFont="1"/>
    <xf numFmtId="8" fontId="2" fillId="0" borderId="0" xfId="4" applyNumberFormat="1" applyFont="1"/>
    <xf numFmtId="14" fontId="2" fillId="0" borderId="0" xfId="5" applyNumberFormat="1" applyFont="1"/>
    <xf numFmtId="9" fontId="2" fillId="0" borderId="0" xfId="4" applyNumberFormat="1" applyFont="1"/>
    <xf numFmtId="9" fontId="2" fillId="0" borderId="0" xfId="5" applyNumberFormat="1" applyFont="1"/>
    <xf numFmtId="14" fontId="2" fillId="0" borderId="0" xfId="4" applyNumberFormat="1" applyFont="1"/>
    <xf numFmtId="49" fontId="29" fillId="0" borderId="0" xfId="0" applyNumberFormat="1" applyFont="1"/>
    <xf numFmtId="0" fontId="26" fillId="4" borderId="0" xfId="0" applyFont="1" applyFill="1"/>
    <xf numFmtId="0" fontId="25" fillId="4" borderId="0" xfId="0" applyFont="1" applyFill="1" applyAlignment="1">
      <alignment horizontal="center"/>
    </xf>
    <xf numFmtId="0" fontId="25" fillId="0" borderId="12" xfId="0" applyFont="1" applyBorder="1" applyAlignment="1">
      <alignment horizontal="center"/>
    </xf>
    <xf numFmtId="0" fontId="26" fillId="4" borderId="12" xfId="0" applyFont="1" applyFill="1" applyBorder="1"/>
    <xf numFmtId="0" fontId="25" fillId="4" borderId="12" xfId="0" applyFont="1" applyFill="1" applyBorder="1"/>
    <xf numFmtId="49" fontId="25" fillId="4" borderId="12" xfId="0" applyNumberFormat="1" applyFont="1" applyFill="1" applyBorder="1"/>
    <xf numFmtId="0" fontId="25" fillId="4" borderId="13" xfId="0" applyFont="1" applyFill="1" applyBorder="1"/>
    <xf numFmtId="0" fontId="25" fillId="4" borderId="14" xfId="0" applyFont="1" applyFill="1" applyBorder="1"/>
    <xf numFmtId="0" fontId="25" fillId="4" borderId="12" xfId="0" applyFont="1" applyFill="1" applyBorder="1" applyAlignment="1">
      <alignment horizontal="center"/>
    </xf>
    <xf numFmtId="0" fontId="27" fillId="0" borderId="12" xfId="0" applyFont="1" applyBorder="1"/>
    <xf numFmtId="0" fontId="27" fillId="0" borderId="14" xfId="0" applyFont="1" applyBorder="1"/>
    <xf numFmtId="49" fontId="27" fillId="0" borderId="12" xfId="0" applyNumberFormat="1" applyFont="1" applyBorder="1"/>
    <xf numFmtId="49" fontId="29" fillId="4" borderId="0" xfId="0" applyNumberFormat="1" applyFont="1" applyFill="1"/>
    <xf numFmtId="49" fontId="29" fillId="4" borderId="12" xfId="0" applyNumberFormat="1" applyFont="1" applyFill="1" applyBorder="1"/>
    <xf numFmtId="49" fontId="30" fillId="4" borderId="0" xfId="0" applyNumberFormat="1" applyFont="1" applyFill="1"/>
    <xf numFmtId="0" fontId="26" fillId="7" borderId="0" xfId="0" applyFont="1" applyFill="1"/>
    <xf numFmtId="0" fontId="25" fillId="7" borderId="0" xfId="0" applyFont="1" applyFill="1"/>
    <xf numFmtId="0" fontId="25" fillId="7" borderId="12" xfId="0" applyFont="1" applyFill="1" applyBorder="1"/>
    <xf numFmtId="0" fontId="25" fillId="7" borderId="0" xfId="0" quotePrefix="1" applyFont="1" applyFill="1"/>
    <xf numFmtId="0" fontId="18" fillId="7" borderId="15" xfId="0" applyFont="1" applyFill="1" applyBorder="1"/>
    <xf numFmtId="0" fontId="18" fillId="7" borderId="16" xfId="0" applyFont="1" applyFill="1" applyBorder="1"/>
    <xf numFmtId="49" fontId="26" fillId="0" borderId="0" xfId="0" applyNumberFormat="1" applyFont="1"/>
    <xf numFmtId="10" fontId="19" fillId="7" borderId="17" xfId="0" applyNumberFormat="1" applyFont="1" applyFill="1" applyBorder="1" applyAlignment="1">
      <alignment horizontal="center"/>
    </xf>
    <xf numFmtId="49" fontId="25" fillId="4" borderId="18" xfId="0" applyNumberFormat="1" applyFont="1" applyFill="1" applyBorder="1"/>
    <xf numFmtId="17" fontId="0" fillId="0" borderId="0" xfId="0" applyNumberFormat="1"/>
    <xf numFmtId="1" fontId="0" fillId="0" borderId="0" xfId="0" applyNumberFormat="1"/>
    <xf numFmtId="0" fontId="32" fillId="0" borderId="0" xfId="0" applyFont="1"/>
    <xf numFmtId="0" fontId="31" fillId="0" borderId="0" xfId="0" applyFont="1" applyAlignment="1">
      <alignment horizontal="right"/>
    </xf>
    <xf numFmtId="166" fontId="0" fillId="0" borderId="0" xfId="0" applyNumberFormat="1"/>
    <xf numFmtId="0" fontId="32" fillId="0" borderId="0" xfId="0" applyFont="1" applyAlignment="1">
      <alignment horizontal="center"/>
    </xf>
    <xf numFmtId="0" fontId="31" fillId="0" borderId="0" xfId="0" applyFont="1" applyAlignment="1">
      <alignment vertical="top" wrapText="1"/>
    </xf>
    <xf numFmtId="0" fontId="32" fillId="0" borderId="0" xfId="0" applyFont="1" applyAlignment="1">
      <alignment vertical="top" wrapText="1"/>
    </xf>
    <xf numFmtId="0" fontId="34" fillId="0" borderId="0" xfId="0" applyFont="1" applyAlignment="1">
      <alignment vertical="top"/>
    </xf>
    <xf numFmtId="0" fontId="35" fillId="0" borderId="0" xfId="0" applyFont="1" applyAlignment="1">
      <alignment horizontal="right" vertical="top"/>
    </xf>
    <xf numFmtId="0" fontId="33" fillId="0" borderId="12" xfId="0" applyFont="1" applyBorder="1"/>
    <xf numFmtId="0" fontId="32" fillId="0" borderId="12" xfId="0" applyFont="1" applyBorder="1"/>
    <xf numFmtId="0" fontId="32" fillId="0" borderId="12" xfId="0" applyFont="1" applyBorder="1" applyAlignment="1">
      <alignment horizontal="right"/>
    </xf>
    <xf numFmtId="0" fontId="33" fillId="0" borderId="12" xfId="0" applyFont="1" applyBorder="1" applyAlignment="1">
      <alignment horizontal="right"/>
    </xf>
    <xf numFmtId="0" fontId="31" fillId="0" borderId="12" xfId="0" applyFont="1" applyBorder="1" applyAlignment="1">
      <alignment horizontal="right"/>
    </xf>
    <xf numFmtId="0" fontId="31" fillId="0" borderId="12" xfId="0" applyFont="1" applyBorder="1" applyAlignment="1">
      <alignment horizontal="left" vertical="center"/>
    </xf>
    <xf numFmtId="2" fontId="0" fillId="0" borderId="0" xfId="0" applyNumberFormat="1"/>
    <xf numFmtId="10" fontId="25" fillId="0" borderId="0" xfId="0" applyNumberFormat="1" applyFont="1"/>
    <xf numFmtId="9" fontId="25" fillId="0" borderId="0" xfId="6" applyFont="1"/>
    <xf numFmtId="0" fontId="36" fillId="0" borderId="0" xfId="0" applyFont="1"/>
    <xf numFmtId="0" fontId="37" fillId="0" borderId="0" xfId="0" applyFont="1"/>
    <xf numFmtId="0" fontId="37" fillId="0" borderId="0" xfId="0" applyFont="1" applyAlignment="1">
      <alignment horizontal="right"/>
    </xf>
    <xf numFmtId="0" fontId="38" fillId="0" borderId="0" xfId="0" applyFont="1" applyAlignment="1">
      <alignment horizontal="right"/>
    </xf>
    <xf numFmtId="165" fontId="37" fillId="0" borderId="0" xfId="6" applyNumberFormat="1" applyFont="1"/>
    <xf numFmtId="164" fontId="37" fillId="0" borderId="0" xfId="1" applyNumberFormat="1" applyFont="1"/>
    <xf numFmtId="9" fontId="37" fillId="0" borderId="0" xfId="6" applyFont="1"/>
    <xf numFmtId="10" fontId="37" fillId="0" borderId="0" xfId="0" applyNumberFormat="1" applyFont="1"/>
    <xf numFmtId="9" fontId="37" fillId="0" borderId="0" xfId="0" applyNumberFormat="1" applyFont="1"/>
    <xf numFmtId="49" fontId="25" fillId="4" borderId="19" xfId="0" applyNumberFormat="1" applyFont="1" applyFill="1" applyBorder="1"/>
    <xf numFmtId="0" fontId="19" fillId="4" borderId="20" xfId="0" applyFont="1" applyFill="1" applyBorder="1" applyAlignment="1">
      <alignment horizontal="center"/>
    </xf>
    <xf numFmtId="0" fontId="19" fillId="4" borderId="21" xfId="0" applyFont="1" applyFill="1" applyBorder="1" applyAlignment="1">
      <alignment horizontal="center"/>
    </xf>
    <xf numFmtId="9" fontId="32" fillId="0" borderId="0" xfId="0" applyNumberFormat="1" applyFont="1"/>
    <xf numFmtId="0" fontId="40" fillId="0" borderId="0" xfId="0" applyFont="1"/>
    <xf numFmtId="8" fontId="0" fillId="0" borderId="0" xfId="0" applyNumberFormat="1"/>
    <xf numFmtId="167" fontId="0" fillId="0" borderId="0" xfId="0" applyNumberFormat="1"/>
    <xf numFmtId="0" fontId="11" fillId="4" borderId="22" xfId="4" applyFont="1" applyFill="1" applyBorder="1" applyAlignment="1">
      <alignment horizontal="center" vertical="center"/>
    </xf>
    <xf numFmtId="0" fontId="11" fillId="4" borderId="19" xfId="4" applyFont="1" applyFill="1" applyBorder="1" applyAlignment="1">
      <alignment horizontal="center" vertical="center"/>
    </xf>
    <xf numFmtId="0" fontId="11" fillId="4" borderId="23" xfId="4" applyFont="1" applyFill="1" applyBorder="1" applyAlignment="1">
      <alignment horizontal="center" vertical="center"/>
    </xf>
    <xf numFmtId="0" fontId="11" fillId="4" borderId="24" xfId="4" applyFont="1" applyFill="1" applyBorder="1" applyAlignment="1">
      <alignment horizontal="center" vertical="center"/>
    </xf>
    <xf numFmtId="0" fontId="11" fillId="4" borderId="0" xfId="4" applyFont="1" applyFill="1" applyAlignment="1">
      <alignment horizontal="center" vertical="center"/>
    </xf>
    <xf numFmtId="0" fontId="11" fillId="4" borderId="13" xfId="4" applyFont="1" applyFill="1" applyBorder="1" applyAlignment="1">
      <alignment horizontal="center" vertical="center"/>
    </xf>
    <xf numFmtId="0" fontId="11" fillId="4" borderId="18" xfId="4" applyFont="1" applyFill="1" applyBorder="1" applyAlignment="1">
      <alignment horizontal="center" vertical="center"/>
    </xf>
    <xf numFmtId="0" fontId="11" fillId="4" borderId="12" xfId="4" applyFont="1" applyFill="1" applyBorder="1" applyAlignment="1">
      <alignment horizontal="center" vertical="center"/>
    </xf>
    <xf numFmtId="0" fontId="11" fillId="4" borderId="14" xfId="4" applyFont="1" applyFill="1" applyBorder="1" applyAlignment="1">
      <alignment horizontal="center" vertical="center"/>
    </xf>
    <xf numFmtId="0" fontId="11" fillId="4" borderId="22" xfId="4" applyFont="1" applyFill="1" applyBorder="1" applyAlignment="1">
      <alignment horizontal="center" vertical="center" wrapText="1"/>
    </xf>
    <xf numFmtId="0" fontId="11" fillId="4" borderId="23" xfId="4" applyFont="1" applyFill="1" applyBorder="1" applyAlignment="1">
      <alignment horizontal="center" vertical="center" wrapText="1"/>
    </xf>
    <xf numFmtId="0" fontId="11" fillId="4" borderId="24" xfId="4" applyFont="1" applyFill="1" applyBorder="1" applyAlignment="1">
      <alignment horizontal="center" vertical="center" wrapText="1"/>
    </xf>
    <xf numFmtId="0" fontId="11" fillId="4" borderId="13" xfId="4" applyFont="1" applyFill="1" applyBorder="1" applyAlignment="1">
      <alignment horizontal="center" vertical="center" wrapText="1"/>
    </xf>
    <xf numFmtId="0" fontId="11" fillId="4" borderId="18" xfId="4" applyFont="1" applyFill="1" applyBorder="1" applyAlignment="1">
      <alignment horizontal="center" vertical="center" wrapText="1"/>
    </xf>
    <xf numFmtId="0" fontId="11" fillId="4" borderId="14" xfId="4" applyFont="1" applyFill="1" applyBorder="1" applyAlignment="1">
      <alignment horizontal="center" vertical="center" wrapText="1"/>
    </xf>
    <xf numFmtId="0" fontId="15" fillId="4" borderId="22" xfId="4" applyFont="1" applyFill="1" applyBorder="1" applyAlignment="1">
      <alignment horizontal="center" vertical="center" wrapText="1"/>
    </xf>
    <xf numFmtId="0" fontId="15" fillId="4" borderId="19" xfId="4" applyFont="1" applyFill="1" applyBorder="1" applyAlignment="1">
      <alignment horizontal="center" vertical="center" wrapText="1"/>
    </xf>
    <xf numFmtId="0" fontId="15" fillId="4" borderId="23" xfId="4" applyFont="1" applyFill="1" applyBorder="1" applyAlignment="1">
      <alignment horizontal="center" vertical="center" wrapText="1"/>
    </xf>
    <xf numFmtId="0" fontId="15" fillId="4" borderId="24" xfId="4" applyFont="1" applyFill="1" applyBorder="1" applyAlignment="1">
      <alignment horizontal="center" vertical="center" wrapText="1"/>
    </xf>
    <xf numFmtId="0" fontId="15" fillId="4" borderId="0" xfId="4" applyFont="1" applyFill="1" applyAlignment="1">
      <alignment horizontal="center" vertical="center" wrapText="1"/>
    </xf>
    <xf numFmtId="0" fontId="15" fillId="4" borderId="13" xfId="4" applyFont="1" applyFill="1" applyBorder="1" applyAlignment="1">
      <alignment horizontal="center" vertical="center" wrapText="1"/>
    </xf>
    <xf numFmtId="0" fontId="15" fillId="4" borderId="18" xfId="4" applyFont="1" applyFill="1" applyBorder="1" applyAlignment="1">
      <alignment horizontal="center" vertical="center" wrapText="1"/>
    </xf>
    <xf numFmtId="0" fontId="15" fillId="4" borderId="12" xfId="4" applyFont="1" applyFill="1" applyBorder="1" applyAlignment="1">
      <alignment horizontal="center" vertical="center" wrapText="1"/>
    </xf>
    <xf numFmtId="0" fontId="15" fillId="4" borderId="14" xfId="4" applyFont="1" applyFill="1" applyBorder="1" applyAlignment="1">
      <alignment horizontal="center" vertical="center" wrapText="1"/>
    </xf>
  </cellXfs>
  <cellStyles count="190">
    <cellStyle name="Comma" xfId="1" builtinId="3"/>
    <cellStyle name="Comma 2" xfId="2" xr:uid="{00000000-0005-0000-0000-000001000000}"/>
    <cellStyle name="Currency 2" xfId="3" xr:uid="{00000000-0005-0000-0000-000002000000}"/>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Normal" xfId="0" builtinId="0"/>
    <cellStyle name="Normal 2" xfId="4" xr:uid="{00000000-0005-0000-0000-0000BA000000}"/>
    <cellStyle name="Normal_importingScript.xls" xfId="5" xr:uid="{00000000-0005-0000-0000-0000BB000000}"/>
    <cellStyle name="Percent" xfId="6" builtinId="5"/>
    <cellStyle name="Percent 2" xfId="7" xr:uid="{00000000-0005-0000-0000-0000BD000000}"/>
  </cellStyles>
  <dxfs count="1">
    <dxf>
      <font>
        <condense val="0"/>
        <extend val="0"/>
        <color indexed="10"/>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800" b="0" i="0" u="none" strike="noStrike" baseline="0">
                <a:solidFill>
                  <a:srgbClr val="000000"/>
                </a:solidFill>
                <a:latin typeface="Myriad Pro"/>
                <a:ea typeface="Myriad Pro"/>
                <a:cs typeface="Myriad Pro"/>
              </a:defRPr>
            </a:pPr>
            <a:r>
              <a:rPr lang="en-US"/>
              <a:t>excess return of fund</a:t>
            </a:r>
          </a:p>
        </c:rich>
      </c:tx>
      <c:layout>
        <c:manualLayout>
          <c:xMode val="edge"/>
          <c:yMode val="edge"/>
          <c:x val="5.1849768778902475E-3"/>
          <c:y val="4.2860892388451423E-3"/>
        </c:manualLayout>
      </c:layout>
      <c:overlay val="0"/>
      <c:spPr>
        <a:noFill/>
        <a:ln w="25400">
          <a:noFill/>
        </a:ln>
      </c:spPr>
    </c:title>
    <c:autoTitleDeleted val="0"/>
    <c:plotArea>
      <c:layout>
        <c:manualLayout>
          <c:layoutTarget val="inner"/>
          <c:xMode val="edge"/>
          <c:yMode val="edge"/>
          <c:x val="0.23809662212043231"/>
          <c:y val="0.11949758928845602"/>
          <c:w val="0.60714638640710161"/>
          <c:h val="0.7295642293400475"/>
        </c:manualLayout>
      </c:layout>
      <c:lineChart>
        <c:grouping val="standard"/>
        <c:varyColors val="0"/>
        <c:ser>
          <c:idx val="0"/>
          <c:order val="0"/>
          <c:tx>
            <c:strRef>
              <c:f>CALCS!$T$4</c:f>
              <c:strCache>
                <c:ptCount val="1"/>
                <c:pt idx="0">
                  <c:v>Excess Return of Fund</c:v>
                </c:pt>
              </c:strCache>
            </c:strRef>
          </c:tx>
          <c:spPr>
            <a:ln w="31750">
              <a:solidFill>
                <a:srgbClr val="004080"/>
              </a:solidFill>
            </a:ln>
          </c:spPr>
          <c:marker>
            <c:symbol val="none"/>
          </c:marker>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CALCS!$T$17:$T$54</c:f>
              <c:numCache>
                <c:formatCode>0%</c:formatCode>
                <c:ptCount val="38"/>
                <c:pt idx="0">
                  <c:v>0.39647999999999994</c:v>
                </c:pt>
                <c:pt idx="1">
                  <c:v>0.4842638614041691</c:v>
                </c:pt>
                <c:pt idx="2">
                  <c:v>0.57769580687675859</c:v>
                </c:pt>
                <c:pt idx="3">
                  <c:v>0.59623824649796631</c:v>
                </c:pt>
                <c:pt idx="4">
                  <c:v>0.59082741302758324</c:v>
                </c:pt>
                <c:pt idx="5">
                  <c:v>0.66341388889945341</c:v>
                </c:pt>
                <c:pt idx="6">
                  <c:v>0.39025307077531812</c:v>
                </c:pt>
                <c:pt idx="7">
                  <c:v>0.34633267401925405</c:v>
                </c:pt>
                <c:pt idx="8">
                  <c:v>0.39994152514589065</c:v>
                </c:pt>
                <c:pt idx="9">
                  <c:v>0.39024589729201375</c:v>
                </c:pt>
                <c:pt idx="10">
                  <c:v>0.15178817500620134</c:v>
                </c:pt>
                <c:pt idx="11">
                  <c:v>0.15202641186842691</c:v>
                </c:pt>
                <c:pt idx="12">
                  <c:v>3.0699619239304199E-2</c:v>
                </c:pt>
                <c:pt idx="13">
                  <c:v>9.2368140372969254E-3</c:v>
                </c:pt>
                <c:pt idx="14">
                  <c:v>2.3378003324795338E-2</c:v>
                </c:pt>
                <c:pt idx="15">
                  <c:v>-9.5826194921261321E-3</c:v>
                </c:pt>
                <c:pt idx="16">
                  <c:v>0.18243525829290896</c:v>
                </c:pt>
                <c:pt idx="17">
                  <c:v>0.19681519758990296</c:v>
                </c:pt>
                <c:pt idx="18">
                  <c:v>0.15617795264449919</c:v>
                </c:pt>
                <c:pt idx="19">
                  <c:v>0.11653744304907299</c:v>
                </c:pt>
                <c:pt idx="20">
                  <c:v>0.129289544595943</c:v>
                </c:pt>
                <c:pt idx="21">
                  <c:v>0.16423719887230848</c:v>
                </c:pt>
                <c:pt idx="22">
                  <c:v>0.19792015020759712</c:v>
                </c:pt>
                <c:pt idx="23">
                  <c:v>0.3023955284110198</c:v>
                </c:pt>
                <c:pt idx="24">
                  <c:v>0.41419872441685612</c:v>
                </c:pt>
                <c:pt idx="25">
                  <c:v>0.43034595511802387</c:v>
                </c:pt>
                <c:pt idx="26">
                  <c:v>0.29184389284954271</c:v>
                </c:pt>
                <c:pt idx="27">
                  <c:v>0.27526892853723295</c:v>
                </c:pt>
                <c:pt idx="28">
                  <c:v>-3.4594851412181216E-2</c:v>
                </c:pt>
                <c:pt idx="29">
                  <c:v>-0.27682205539395444</c:v>
                </c:pt>
                <c:pt idx="30">
                  <c:v>-8.56499464563929E-2</c:v>
                </c:pt>
                <c:pt idx="31">
                  <c:v>-0.10998159235873062</c:v>
                </c:pt>
                <c:pt idx="32">
                  <c:v>-0.12363113129626857</c:v>
                </c:pt>
                <c:pt idx="33">
                  <c:v>-0.12722157592529615</c:v>
                </c:pt>
                <c:pt idx="34">
                  <c:v>-1.6104639128406761E-2</c:v>
                </c:pt>
                <c:pt idx="35">
                  <c:v>7.164429866310229E-2</c:v>
                </c:pt>
                <c:pt idx="36">
                  <c:v>7.1808588629582615E-2</c:v>
                </c:pt>
                <c:pt idx="37">
                  <c:v>3.6552671156738326E-2</c:v>
                </c:pt>
              </c:numCache>
            </c:numRef>
          </c:val>
          <c:smooth val="0"/>
          <c:extLst>
            <c:ext xmlns:c16="http://schemas.microsoft.com/office/drawing/2014/chart" uri="{C3380CC4-5D6E-409C-BE32-E72D297353CC}">
              <c16:uniqueId val="{00000000-A33B-45AF-9E47-B69D6DC4DEF4}"/>
            </c:ext>
          </c:extLst>
        </c:ser>
        <c:dLbls>
          <c:showLegendKey val="0"/>
          <c:showVal val="0"/>
          <c:showCatName val="0"/>
          <c:showSerName val="0"/>
          <c:showPercent val="0"/>
          <c:showBubbleSize val="0"/>
        </c:dLbls>
        <c:smooth val="0"/>
        <c:axId val="56401280"/>
        <c:axId val="57033856"/>
      </c:lineChart>
      <c:dateAx>
        <c:axId val="56401280"/>
        <c:scaling>
          <c:orientation val="minMax"/>
        </c:scaling>
        <c:delete val="0"/>
        <c:axPos val="b"/>
        <c:numFmt formatCode="mmm\-yy" sourceLinked="0"/>
        <c:majorTickMark val="none"/>
        <c:minorTickMark val="none"/>
        <c:tickLblPos val="low"/>
        <c:txPr>
          <a:bodyPr rot="0" vert="horz"/>
          <a:lstStyle/>
          <a:p>
            <a:pPr>
              <a:defRPr sz="750" b="0" i="0" u="none" strike="noStrike" baseline="0">
                <a:solidFill>
                  <a:srgbClr val="000000"/>
                </a:solidFill>
                <a:latin typeface="Myriad Pro"/>
                <a:ea typeface="Myriad Pro"/>
                <a:cs typeface="Myriad Pro"/>
              </a:defRPr>
            </a:pPr>
            <a:endParaRPr lang="en-US"/>
          </a:p>
        </c:txPr>
        <c:crossAx val="57033856"/>
        <c:crosses val="autoZero"/>
        <c:auto val="1"/>
        <c:lblOffset val="100"/>
        <c:baseTimeUnit val="months"/>
      </c:dateAx>
      <c:valAx>
        <c:axId val="57033856"/>
        <c:scaling>
          <c:orientation val="minMax"/>
          <c:max val="0.72975527778939886"/>
          <c:min val="-0.30450426093334992"/>
        </c:scaling>
        <c:delete val="0"/>
        <c:axPos val="l"/>
        <c:majorGridlines>
          <c:spPr>
            <a:ln w="3175">
              <a:solidFill>
                <a:srgbClr val="000000"/>
              </a:solidFill>
              <a:prstDash val="solid"/>
            </a:ln>
          </c:spPr>
        </c:majorGridlines>
        <c:numFmt formatCode="0%" sourceLinked="1"/>
        <c:majorTickMark val="none"/>
        <c:minorTickMark val="none"/>
        <c:tickLblPos val="nextTo"/>
        <c:spPr>
          <a:ln>
            <a:noFill/>
          </a:ln>
        </c:spPr>
        <c:txPr>
          <a:bodyPr/>
          <a:lstStyle/>
          <a:p>
            <a:pPr>
              <a:defRPr sz="750"/>
            </a:pPr>
            <a:endParaRPr lang="en-US"/>
          </a:p>
        </c:txPr>
        <c:crossAx val="56401280"/>
        <c:crosses val="autoZero"/>
        <c:crossBetween val="between"/>
      </c:valAx>
    </c:plotArea>
    <c:plotVisOnly val="1"/>
    <c:dispBlanksAs val="gap"/>
    <c:showDLblsOverMax val="0"/>
  </c:chart>
  <c:spPr>
    <a:ln>
      <a:noFill/>
    </a:ln>
  </c:spPr>
  <c:txPr>
    <a:bodyPr/>
    <a:lstStyle/>
    <a:p>
      <a:pPr>
        <a:defRPr sz="800" b="0" i="0" u="none" strike="noStrike" baseline="0">
          <a:solidFill>
            <a:srgbClr val="000000"/>
          </a:solidFill>
          <a:latin typeface="Myriad Pro"/>
          <a:ea typeface="Myriad Pro"/>
          <a:cs typeface="Myriad Pro"/>
        </a:defRPr>
      </a:pPr>
      <a:endParaRPr lang="en-US"/>
    </a:p>
  </c:txPr>
  <c:printSettings>
    <c:headerFooter/>
    <c:pageMargins b="1" l="0.75000000000000111" r="0.75000000000000111"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800" b="0" i="0" u="none" strike="noStrike" baseline="0">
                <a:solidFill>
                  <a:srgbClr val="000000"/>
                </a:solidFill>
                <a:latin typeface="Myriad Pro"/>
                <a:ea typeface="Myriad Pro"/>
                <a:cs typeface="Myriad Pro"/>
              </a:defRPr>
            </a:pPr>
            <a:r>
              <a:rPr lang="en-US"/>
              <a:t>components of return</a:t>
            </a:r>
          </a:p>
        </c:rich>
      </c:tx>
      <c:layout>
        <c:manualLayout>
          <c:xMode val="edge"/>
          <c:yMode val="edge"/>
          <c:x val="3.8519214948877739E-3"/>
          <c:y val="2.2653265902737845E-3"/>
        </c:manualLayout>
      </c:layout>
      <c:overlay val="0"/>
      <c:spPr>
        <a:noFill/>
        <a:ln w="25400">
          <a:noFill/>
        </a:ln>
      </c:spPr>
    </c:title>
    <c:autoTitleDeleted val="0"/>
    <c:plotArea>
      <c:layout>
        <c:manualLayout>
          <c:layoutTarget val="inner"/>
          <c:xMode val="edge"/>
          <c:yMode val="edge"/>
          <c:x val="0.10119077029497513"/>
          <c:y val="8.9431249330099563E-2"/>
          <c:w val="0.81845475973876858"/>
          <c:h val="0.74797044894264797"/>
        </c:manualLayout>
      </c:layout>
      <c:barChart>
        <c:barDir val="col"/>
        <c:grouping val="stacked"/>
        <c:varyColors val="0"/>
        <c:ser>
          <c:idx val="1"/>
          <c:order val="0"/>
          <c:tx>
            <c:v>Market Tailwind</c:v>
          </c:tx>
          <c:spPr>
            <a:solidFill>
              <a:srgbClr val="666666"/>
            </a:solidFill>
            <a:ln>
              <a:noFill/>
            </a:ln>
          </c:spPr>
          <c:invertIfNegative val="0"/>
          <c:cat>
            <c:numRef>
              <c:f>CALCS!$A$17:$A$69</c:f>
              <c:numCache>
                <c:formatCode>mmm\-yy</c:formatCode>
                <c:ptCount val="53"/>
                <c:pt idx="0">
                  <c:v>39356</c:v>
                </c:pt>
                <c:pt idx="1">
                  <c:v>39387</c:v>
                </c:pt>
                <c:pt idx="2">
                  <c:v>39417</c:v>
                </c:pt>
                <c:pt idx="3">
                  <c:v>39448</c:v>
                </c:pt>
                <c:pt idx="4">
                  <c:v>39479</c:v>
                </c:pt>
                <c:pt idx="5">
                  <c:v>39508</c:v>
                </c:pt>
                <c:pt idx="6">
                  <c:v>39539</c:v>
                </c:pt>
                <c:pt idx="7">
                  <c:v>39569</c:v>
                </c:pt>
                <c:pt idx="8">
                  <c:v>39600</c:v>
                </c:pt>
                <c:pt idx="9">
                  <c:v>39630</c:v>
                </c:pt>
                <c:pt idx="10">
                  <c:v>39661</c:v>
                </c:pt>
                <c:pt idx="11">
                  <c:v>39692</c:v>
                </c:pt>
                <c:pt idx="12">
                  <c:v>39722</c:v>
                </c:pt>
                <c:pt idx="13">
                  <c:v>39753</c:v>
                </c:pt>
                <c:pt idx="14">
                  <c:v>39783</c:v>
                </c:pt>
                <c:pt idx="15">
                  <c:v>39814</c:v>
                </c:pt>
                <c:pt idx="16">
                  <c:v>39845</c:v>
                </c:pt>
                <c:pt idx="17">
                  <c:v>39873</c:v>
                </c:pt>
                <c:pt idx="18">
                  <c:v>39904</c:v>
                </c:pt>
                <c:pt idx="19">
                  <c:v>39934</c:v>
                </c:pt>
                <c:pt idx="20">
                  <c:v>39965</c:v>
                </c:pt>
                <c:pt idx="21">
                  <c:v>39995</c:v>
                </c:pt>
                <c:pt idx="22">
                  <c:v>40026</c:v>
                </c:pt>
                <c:pt idx="23">
                  <c:v>40057</c:v>
                </c:pt>
                <c:pt idx="24">
                  <c:v>40087</c:v>
                </c:pt>
                <c:pt idx="25">
                  <c:v>40118</c:v>
                </c:pt>
                <c:pt idx="26">
                  <c:v>40148</c:v>
                </c:pt>
                <c:pt idx="27">
                  <c:v>40179</c:v>
                </c:pt>
                <c:pt idx="28">
                  <c:v>40210</c:v>
                </c:pt>
                <c:pt idx="29">
                  <c:v>40238</c:v>
                </c:pt>
                <c:pt idx="30">
                  <c:v>40269</c:v>
                </c:pt>
                <c:pt idx="31">
                  <c:v>40299</c:v>
                </c:pt>
                <c:pt idx="32">
                  <c:v>40330</c:v>
                </c:pt>
                <c:pt idx="33">
                  <c:v>40360</c:v>
                </c:pt>
                <c:pt idx="34">
                  <c:v>40391</c:v>
                </c:pt>
                <c:pt idx="35">
                  <c:v>40422</c:v>
                </c:pt>
                <c:pt idx="36">
                  <c:v>40452</c:v>
                </c:pt>
                <c:pt idx="37">
                  <c:v>40483</c:v>
                </c:pt>
              </c:numCache>
            </c:numRef>
          </c:cat>
          <c:val>
            <c:numRef>
              <c:f>CALCS!$AA$17:$AA$69</c:f>
              <c:numCache>
                <c:formatCode>0%</c:formatCode>
                <c:ptCount val="53"/>
                <c:pt idx="0">
                  <c:v>-2.5074630665559348E-2</c:v>
                </c:pt>
                <c:pt idx="1">
                  <c:v>-2.3614848573744882E-2</c:v>
                </c:pt>
                <c:pt idx="2">
                  <c:v>-5.8678738074513397E-2</c:v>
                </c:pt>
                <c:pt idx="3">
                  <c:v>-9.1246961946715277E-2</c:v>
                </c:pt>
                <c:pt idx="4">
                  <c:v>-0.10383185007415141</c:v>
                </c:pt>
                <c:pt idx="5">
                  <c:v>-0.13251140403187708</c:v>
                </c:pt>
                <c:pt idx="6">
                  <c:v>-0.19938188365547041</c:v>
                </c:pt>
                <c:pt idx="7">
                  <c:v>-0.19569824738633174</c:v>
                </c:pt>
                <c:pt idx="8">
                  <c:v>-0.21699473202707392</c:v>
                </c:pt>
                <c:pt idx="9">
                  <c:v>-0.32321882455184081</c:v>
                </c:pt>
                <c:pt idx="10">
                  <c:v>-0.51232547743052925</c:v>
                </c:pt>
                <c:pt idx="11">
                  <c:v>-0.46533240130836023</c:v>
                </c:pt>
                <c:pt idx="12">
                  <c:v>-0.40934214777999817</c:v>
                </c:pt>
                <c:pt idx="13">
                  <c:v>-0.31900711057850478</c:v>
                </c:pt>
                <c:pt idx="14">
                  <c:v>-0.28930718714755121</c:v>
                </c:pt>
                <c:pt idx="15">
                  <c:v>-0.250123259561633</c:v>
                </c:pt>
                <c:pt idx="16">
                  <c:v>-0.28134747489176781</c:v>
                </c:pt>
                <c:pt idx="17">
                  <c:v>-0.32152602283279857</c:v>
                </c:pt>
                <c:pt idx="18">
                  <c:v>-0.27680564096749222</c:v>
                </c:pt>
                <c:pt idx="19">
                  <c:v>-0.41770328619717417</c:v>
                </c:pt>
                <c:pt idx="20">
                  <c:v>-0.50248109238774752</c:v>
                </c:pt>
                <c:pt idx="21">
                  <c:v>-0.66237977463198483</c:v>
                </c:pt>
                <c:pt idx="22">
                  <c:v>-0.59159465589007665</c:v>
                </c:pt>
                <c:pt idx="23">
                  <c:v>-0.38218114392169122</c:v>
                </c:pt>
                <c:pt idx="24">
                  <c:v>-0.21504721502329421</c:v>
                </c:pt>
                <c:pt idx="25">
                  <c:v>-0.14868281780255829</c:v>
                </c:pt>
                <c:pt idx="26">
                  <c:v>-3.5735911875880051E-2</c:v>
                </c:pt>
                <c:pt idx="27">
                  <c:v>1.8620235904320166E-2</c:v>
                </c:pt>
                <c:pt idx="28">
                  <c:v>0.49994062996256666</c:v>
                </c:pt>
                <c:pt idx="29">
                  <c:v>0.42145927556380247</c:v>
                </c:pt>
                <c:pt idx="30">
                  <c:v>0.52374106033721357</c:v>
                </c:pt>
                <c:pt idx="31">
                  <c:v>0.60935263547213059</c:v>
                </c:pt>
                <c:pt idx="32">
                  <c:v>0.41837301047973313</c:v>
                </c:pt>
                <c:pt idx="33">
                  <c:v>0.16186564236387099</c:v>
                </c:pt>
                <c:pt idx="34">
                  <c:v>0.25436177182846814</c:v>
                </c:pt>
                <c:pt idx="35">
                  <c:v>-0.30770640463522297</c:v>
                </c:pt>
                <c:pt idx="36">
                  <c:v>-0.12690057280029907</c:v>
                </c:pt>
                <c:pt idx="37">
                  <c:v>0.31219080745341637</c:v>
                </c:pt>
              </c:numCache>
            </c:numRef>
          </c:val>
          <c:extLst>
            <c:ext xmlns:c16="http://schemas.microsoft.com/office/drawing/2014/chart" uri="{C3380CC4-5D6E-409C-BE32-E72D297353CC}">
              <c16:uniqueId val="{00000000-E09B-4286-95DE-C8C5D475F837}"/>
            </c:ext>
          </c:extLst>
        </c:ser>
        <c:ser>
          <c:idx val="0"/>
          <c:order val="1"/>
          <c:tx>
            <c:v>Market Timing</c:v>
          </c:tx>
          <c:spPr>
            <a:solidFill>
              <a:srgbClr val="CCCCCC"/>
            </a:solidFill>
            <a:ln w="25400">
              <a:noFill/>
            </a:ln>
          </c:spPr>
          <c:invertIfNegative val="0"/>
          <c:cat>
            <c:numRef>
              <c:f>CALCS!$A$17:$A$69</c:f>
              <c:numCache>
                <c:formatCode>mmm\-yy</c:formatCode>
                <c:ptCount val="53"/>
                <c:pt idx="0">
                  <c:v>39356</c:v>
                </c:pt>
                <c:pt idx="1">
                  <c:v>39387</c:v>
                </c:pt>
                <c:pt idx="2">
                  <c:v>39417</c:v>
                </c:pt>
                <c:pt idx="3">
                  <c:v>39448</c:v>
                </c:pt>
                <c:pt idx="4">
                  <c:v>39479</c:v>
                </c:pt>
                <c:pt idx="5">
                  <c:v>39508</c:v>
                </c:pt>
                <c:pt idx="6">
                  <c:v>39539</c:v>
                </c:pt>
                <c:pt idx="7">
                  <c:v>39569</c:v>
                </c:pt>
                <c:pt idx="8">
                  <c:v>39600</c:v>
                </c:pt>
                <c:pt idx="9">
                  <c:v>39630</c:v>
                </c:pt>
                <c:pt idx="10">
                  <c:v>39661</c:v>
                </c:pt>
                <c:pt idx="11">
                  <c:v>39692</c:v>
                </c:pt>
                <c:pt idx="12">
                  <c:v>39722</c:v>
                </c:pt>
                <c:pt idx="13">
                  <c:v>39753</c:v>
                </c:pt>
                <c:pt idx="14">
                  <c:v>39783</c:v>
                </c:pt>
                <c:pt idx="15">
                  <c:v>39814</c:v>
                </c:pt>
                <c:pt idx="16">
                  <c:v>39845</c:v>
                </c:pt>
                <c:pt idx="17">
                  <c:v>39873</c:v>
                </c:pt>
                <c:pt idx="18">
                  <c:v>39904</c:v>
                </c:pt>
                <c:pt idx="19">
                  <c:v>39934</c:v>
                </c:pt>
                <c:pt idx="20">
                  <c:v>39965</c:v>
                </c:pt>
                <c:pt idx="21">
                  <c:v>39995</c:v>
                </c:pt>
                <c:pt idx="22">
                  <c:v>40026</c:v>
                </c:pt>
                <c:pt idx="23">
                  <c:v>40057</c:v>
                </c:pt>
                <c:pt idx="24">
                  <c:v>40087</c:v>
                </c:pt>
                <c:pt idx="25">
                  <c:v>40118</c:v>
                </c:pt>
                <c:pt idx="26">
                  <c:v>40148</c:v>
                </c:pt>
                <c:pt idx="27">
                  <c:v>40179</c:v>
                </c:pt>
                <c:pt idx="28">
                  <c:v>40210</c:v>
                </c:pt>
                <c:pt idx="29">
                  <c:v>40238</c:v>
                </c:pt>
                <c:pt idx="30">
                  <c:v>40269</c:v>
                </c:pt>
                <c:pt idx="31">
                  <c:v>40299</c:v>
                </c:pt>
                <c:pt idx="32">
                  <c:v>40330</c:v>
                </c:pt>
                <c:pt idx="33">
                  <c:v>40360</c:v>
                </c:pt>
                <c:pt idx="34">
                  <c:v>40391</c:v>
                </c:pt>
                <c:pt idx="35">
                  <c:v>40422</c:v>
                </c:pt>
                <c:pt idx="36">
                  <c:v>40452</c:v>
                </c:pt>
                <c:pt idx="37">
                  <c:v>40483</c:v>
                </c:pt>
              </c:numCache>
            </c:numRef>
          </c:cat>
          <c:val>
            <c:numRef>
              <c:f>CALCS!$Z$17:$Z$69</c:f>
              <c:numCache>
                <c:formatCode>0%</c:formatCode>
                <c:ptCount val="53"/>
                <c:pt idx="0">
                  <c:v>7.2659847052274039E-3</c:v>
                </c:pt>
                <c:pt idx="1">
                  <c:v>-1.9181573705770822E-3</c:v>
                </c:pt>
                <c:pt idx="2">
                  <c:v>1.1672446760942765E-3</c:v>
                </c:pt>
                <c:pt idx="3">
                  <c:v>2.5485083331529677E-2</c:v>
                </c:pt>
                <c:pt idx="4">
                  <c:v>1.2900261239834721E-2</c:v>
                </c:pt>
                <c:pt idx="5">
                  <c:v>7.0638274305383081E-2</c:v>
                </c:pt>
                <c:pt idx="6">
                  <c:v>-3.3518014970781163E-2</c:v>
                </c:pt>
                <c:pt idx="7">
                  <c:v>-6.1728472109056701E-2</c:v>
                </c:pt>
                <c:pt idx="8">
                  <c:v>-7.0656322826254253E-2</c:v>
                </c:pt>
                <c:pt idx="9">
                  <c:v>-6.3117406919827354E-2</c:v>
                </c:pt>
                <c:pt idx="10">
                  <c:v>-1.2160341135928938E-2</c:v>
                </c:pt>
                <c:pt idx="11">
                  <c:v>0.23020134160614206</c:v>
                </c:pt>
                <c:pt idx="12">
                  <c:v>0.18196312057325498</c:v>
                </c:pt>
                <c:pt idx="13">
                  <c:v>0.19597786581408783</c:v>
                </c:pt>
                <c:pt idx="14">
                  <c:v>0.22721899686528127</c:v>
                </c:pt>
                <c:pt idx="15">
                  <c:v>0.22910055491947853</c:v>
                </c:pt>
                <c:pt idx="16">
                  <c:v>0.31905434044831066</c:v>
                </c:pt>
                <c:pt idx="17">
                  <c:v>0.29729841222047276</c:v>
                </c:pt>
                <c:pt idx="18">
                  <c:v>0.31250975388699936</c:v>
                </c:pt>
                <c:pt idx="19">
                  <c:v>0.16926002222883141</c:v>
                </c:pt>
                <c:pt idx="20">
                  <c:v>0.15183277915694723</c:v>
                </c:pt>
                <c:pt idx="21">
                  <c:v>0.18645070631718966</c:v>
                </c:pt>
                <c:pt idx="22">
                  <c:v>0.22077530982195537</c:v>
                </c:pt>
                <c:pt idx="23">
                  <c:v>0.15680490177146525</c:v>
                </c:pt>
                <c:pt idx="24">
                  <c:v>-6.6621521917492266E-2</c:v>
                </c:pt>
                <c:pt idx="25">
                  <c:v>-3.8552329380958837E-2</c:v>
                </c:pt>
                <c:pt idx="26">
                  <c:v>1.0934413874929971E-2</c:v>
                </c:pt>
                <c:pt idx="27">
                  <c:v>1.321971899995074E-2</c:v>
                </c:pt>
                <c:pt idx="28">
                  <c:v>0.34038909812819668</c:v>
                </c:pt>
                <c:pt idx="29">
                  <c:v>0.24308352469614983</c:v>
                </c:pt>
                <c:pt idx="30">
                  <c:v>0.42172059955178154</c:v>
                </c:pt>
                <c:pt idx="31">
                  <c:v>0.33369065293339717</c:v>
                </c:pt>
                <c:pt idx="32">
                  <c:v>0.11047508089312282</c:v>
                </c:pt>
                <c:pt idx="33">
                  <c:v>0.17791783478694392</c:v>
                </c:pt>
                <c:pt idx="34">
                  <c:v>0.40651077915974471</c:v>
                </c:pt>
                <c:pt idx="35">
                  <c:v>-0.20500314443567089</c:v>
                </c:pt>
                <c:pt idx="36">
                  <c:v>-8.0245989601320289E-2</c:v>
                </c:pt>
                <c:pt idx="37">
                  <c:v>0.12524863354037263</c:v>
                </c:pt>
              </c:numCache>
            </c:numRef>
          </c:val>
          <c:extLst>
            <c:ext xmlns:c16="http://schemas.microsoft.com/office/drawing/2014/chart" uri="{C3380CC4-5D6E-409C-BE32-E72D297353CC}">
              <c16:uniqueId val="{00000001-E09B-4286-95DE-C8C5D475F837}"/>
            </c:ext>
          </c:extLst>
        </c:ser>
        <c:ser>
          <c:idx val="2"/>
          <c:order val="2"/>
          <c:tx>
            <c:v>Stock Picking</c:v>
          </c:tx>
          <c:spPr>
            <a:solidFill>
              <a:srgbClr val="004080"/>
            </a:solidFill>
            <a:ln>
              <a:noFill/>
            </a:ln>
          </c:spPr>
          <c:invertIfNegative val="0"/>
          <c:cat>
            <c:numRef>
              <c:f>CALCS!$A$17:$A$69</c:f>
              <c:numCache>
                <c:formatCode>mmm\-yy</c:formatCode>
                <c:ptCount val="53"/>
                <c:pt idx="0">
                  <c:v>39356</c:v>
                </c:pt>
                <c:pt idx="1">
                  <c:v>39387</c:v>
                </c:pt>
                <c:pt idx="2">
                  <c:v>39417</c:v>
                </c:pt>
                <c:pt idx="3">
                  <c:v>39448</c:v>
                </c:pt>
                <c:pt idx="4">
                  <c:v>39479</c:v>
                </c:pt>
                <c:pt idx="5">
                  <c:v>39508</c:v>
                </c:pt>
                <c:pt idx="6">
                  <c:v>39539</c:v>
                </c:pt>
                <c:pt idx="7">
                  <c:v>39569</c:v>
                </c:pt>
                <c:pt idx="8">
                  <c:v>39600</c:v>
                </c:pt>
                <c:pt idx="9">
                  <c:v>39630</c:v>
                </c:pt>
                <c:pt idx="10">
                  <c:v>39661</c:v>
                </c:pt>
                <c:pt idx="11">
                  <c:v>39692</c:v>
                </c:pt>
                <c:pt idx="12">
                  <c:v>39722</c:v>
                </c:pt>
                <c:pt idx="13">
                  <c:v>39753</c:v>
                </c:pt>
                <c:pt idx="14">
                  <c:v>39783</c:v>
                </c:pt>
                <c:pt idx="15">
                  <c:v>39814</c:v>
                </c:pt>
                <c:pt idx="16">
                  <c:v>39845</c:v>
                </c:pt>
                <c:pt idx="17">
                  <c:v>39873</c:v>
                </c:pt>
                <c:pt idx="18">
                  <c:v>39904</c:v>
                </c:pt>
                <c:pt idx="19">
                  <c:v>39934</c:v>
                </c:pt>
                <c:pt idx="20">
                  <c:v>39965</c:v>
                </c:pt>
                <c:pt idx="21">
                  <c:v>39995</c:v>
                </c:pt>
                <c:pt idx="22">
                  <c:v>40026</c:v>
                </c:pt>
                <c:pt idx="23">
                  <c:v>40057</c:v>
                </c:pt>
                <c:pt idx="24">
                  <c:v>40087</c:v>
                </c:pt>
                <c:pt idx="25">
                  <c:v>40118</c:v>
                </c:pt>
                <c:pt idx="26">
                  <c:v>40148</c:v>
                </c:pt>
                <c:pt idx="27">
                  <c:v>40179</c:v>
                </c:pt>
                <c:pt idx="28">
                  <c:v>40210</c:v>
                </c:pt>
                <c:pt idx="29">
                  <c:v>40238</c:v>
                </c:pt>
                <c:pt idx="30">
                  <c:v>40269</c:v>
                </c:pt>
                <c:pt idx="31">
                  <c:v>40299</c:v>
                </c:pt>
                <c:pt idx="32">
                  <c:v>40330</c:v>
                </c:pt>
                <c:pt idx="33">
                  <c:v>40360</c:v>
                </c:pt>
                <c:pt idx="34">
                  <c:v>40391</c:v>
                </c:pt>
                <c:pt idx="35">
                  <c:v>40422</c:v>
                </c:pt>
                <c:pt idx="36">
                  <c:v>40452</c:v>
                </c:pt>
                <c:pt idx="37">
                  <c:v>40483</c:v>
                </c:pt>
              </c:numCache>
            </c:numRef>
          </c:cat>
          <c:val>
            <c:numRef>
              <c:f>CALCS!$AB$17:$AB$69</c:f>
              <c:numCache>
                <c:formatCode>0%</c:formatCode>
                <c:ptCount val="53"/>
                <c:pt idx="0">
                  <c:v>0.9676593846292133</c:v>
                </c:pt>
                <c:pt idx="1">
                  <c:v>0.97446699405567805</c:v>
                </c:pt>
                <c:pt idx="2">
                  <c:v>0.9401540172493924</c:v>
                </c:pt>
                <c:pt idx="3">
                  <c:v>0.88326795472175512</c:v>
                </c:pt>
                <c:pt idx="4">
                  <c:v>0.8832678886860138</c:v>
                </c:pt>
                <c:pt idx="5">
                  <c:v>0.79685032166273972</c:v>
                </c:pt>
                <c:pt idx="6">
                  <c:v>0.7671001013737484</c:v>
                </c:pt>
                <c:pt idx="7">
                  <c:v>0.74257328050461158</c:v>
                </c:pt>
                <c:pt idx="8">
                  <c:v>0.7123489451466718</c:v>
                </c:pt>
                <c:pt idx="9">
                  <c:v>0.61366376852833182</c:v>
                </c:pt>
                <c:pt idx="10">
                  <c:v>0.47551418143354179</c:v>
                </c:pt>
                <c:pt idx="11">
                  <c:v>0.30446625708549774</c:v>
                </c:pt>
                <c:pt idx="12">
                  <c:v>-0.4086947316467468</c:v>
                </c:pt>
                <c:pt idx="13">
                  <c:v>-0.48501502360740734</c:v>
                </c:pt>
                <c:pt idx="14">
                  <c:v>-0.48347381598716749</c:v>
                </c:pt>
                <c:pt idx="15">
                  <c:v>-0.52077618551888838</c:v>
                </c:pt>
                <c:pt idx="16">
                  <c:v>-0.39959818465992147</c:v>
                </c:pt>
                <c:pt idx="17">
                  <c:v>-0.38117556494672855</c:v>
                </c:pt>
                <c:pt idx="18">
                  <c:v>-0.41068460514550831</c:v>
                </c:pt>
                <c:pt idx="19">
                  <c:v>-0.41303669157399442</c:v>
                </c:pt>
                <c:pt idx="20">
                  <c:v>-0.34568612845530527</c:v>
                </c:pt>
                <c:pt idx="21">
                  <c:v>0.15116951905082554</c:v>
                </c:pt>
                <c:pt idx="22">
                  <c:v>0.18763003428796782</c:v>
                </c:pt>
                <c:pt idx="23">
                  <c:v>0.4610139543068435</c:v>
                </c:pt>
                <c:pt idx="24">
                  <c:v>0.71833126305921347</c:v>
                </c:pt>
                <c:pt idx="25">
                  <c:v>0.81276485281648292</c:v>
                </c:pt>
                <c:pt idx="26">
                  <c:v>0.95332967424918991</c:v>
                </c:pt>
                <c:pt idx="27">
                  <c:v>0.96816004509572906</c:v>
                </c:pt>
                <c:pt idx="28">
                  <c:v>0.15967027190923674</c:v>
                </c:pt>
                <c:pt idx="29">
                  <c:v>-0.33545719974004762</c:v>
                </c:pt>
                <c:pt idx="30">
                  <c:v>-5.4538340111005008E-2</c:v>
                </c:pt>
                <c:pt idx="31">
                  <c:v>-5.695671159447227E-2</c:v>
                </c:pt>
                <c:pt idx="32">
                  <c:v>-0.47115190862714407</c:v>
                </c:pt>
                <c:pt idx="33">
                  <c:v>-0.66021652284918508</c:v>
                </c:pt>
                <c:pt idx="34">
                  <c:v>-0.33912744901178715</c:v>
                </c:pt>
                <c:pt idx="35">
                  <c:v>0.48729045092910617</c:v>
                </c:pt>
                <c:pt idx="36">
                  <c:v>0.79285343759838056</c:v>
                </c:pt>
                <c:pt idx="37">
                  <c:v>0.56256055900621105</c:v>
                </c:pt>
              </c:numCache>
            </c:numRef>
          </c:val>
          <c:extLst>
            <c:ext xmlns:c16="http://schemas.microsoft.com/office/drawing/2014/chart" uri="{C3380CC4-5D6E-409C-BE32-E72D297353CC}">
              <c16:uniqueId val="{00000002-E09B-4286-95DE-C8C5D475F837}"/>
            </c:ext>
          </c:extLst>
        </c:ser>
        <c:dLbls>
          <c:showLegendKey val="0"/>
          <c:showVal val="0"/>
          <c:showCatName val="0"/>
          <c:showSerName val="0"/>
          <c:showPercent val="0"/>
          <c:showBubbleSize val="0"/>
        </c:dLbls>
        <c:gapWidth val="0"/>
        <c:overlap val="100"/>
        <c:axId val="57071872"/>
        <c:axId val="57085952"/>
      </c:barChart>
      <c:dateAx>
        <c:axId val="57071872"/>
        <c:scaling>
          <c:orientation val="minMax"/>
        </c:scaling>
        <c:delete val="0"/>
        <c:axPos val="b"/>
        <c:numFmt formatCode="mmm\-yy" sourceLinked="0"/>
        <c:majorTickMark val="none"/>
        <c:minorTickMark val="none"/>
        <c:tickLblPos val="low"/>
        <c:txPr>
          <a:bodyPr rot="0" vert="horz"/>
          <a:lstStyle/>
          <a:p>
            <a:pPr>
              <a:defRPr sz="750" b="0" i="0" u="none" strike="noStrike" baseline="0">
                <a:solidFill>
                  <a:srgbClr val="000000"/>
                </a:solidFill>
                <a:latin typeface="Myriad Pro"/>
                <a:ea typeface="Myriad Pro"/>
                <a:cs typeface="Myriad Pro"/>
              </a:defRPr>
            </a:pPr>
            <a:endParaRPr lang="en-US"/>
          </a:p>
        </c:txPr>
        <c:crossAx val="57085952"/>
        <c:crosses val="autoZero"/>
        <c:auto val="1"/>
        <c:lblOffset val="100"/>
        <c:baseTimeUnit val="months"/>
      </c:dateAx>
      <c:valAx>
        <c:axId val="57085952"/>
        <c:scaling>
          <c:orientation val="minMax"/>
        </c:scaling>
        <c:delete val="0"/>
        <c:axPos val="l"/>
        <c:majorGridlines>
          <c:spPr>
            <a:ln>
              <a:solidFill>
                <a:srgbClr val="B3B3B3"/>
              </a:solidFill>
            </a:ln>
          </c:spPr>
        </c:majorGridlines>
        <c:numFmt formatCode="0%" sourceLinked="1"/>
        <c:majorTickMark val="none"/>
        <c:minorTickMark val="none"/>
        <c:tickLblPos val="nextTo"/>
        <c:spPr>
          <a:noFill/>
          <a:ln>
            <a:noFill/>
          </a:ln>
        </c:spPr>
        <c:crossAx val="57071872"/>
        <c:crosses val="autoZero"/>
        <c:crossBetween val="between"/>
      </c:valAx>
    </c:plotArea>
    <c:legend>
      <c:legendPos val="r"/>
      <c:layout>
        <c:manualLayout>
          <c:xMode val="edge"/>
          <c:yMode val="edge"/>
          <c:x val="4.4642986894842029E-2"/>
          <c:y val="0.90650766366418911"/>
          <c:w val="0.89285973789683903"/>
          <c:h val="8.1301135754635712E-2"/>
        </c:manualLayout>
      </c:layout>
      <c:overlay val="0"/>
    </c:legend>
    <c:plotVisOnly val="1"/>
    <c:dispBlanksAs val="gap"/>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800" b="0" i="0" u="none" strike="noStrike" baseline="0">
                <a:solidFill>
                  <a:srgbClr val="000000"/>
                </a:solidFill>
                <a:latin typeface="Myriad Pro"/>
                <a:ea typeface="Myriad Pro"/>
                <a:cs typeface="Myriad Pro"/>
              </a:defRPr>
            </a:pPr>
            <a:r>
              <a:rPr lang="en-US"/>
              <a:t>market exposure</a:t>
            </a:r>
          </a:p>
        </c:rich>
      </c:tx>
      <c:layout>
        <c:manualLayout>
          <c:xMode val="edge"/>
          <c:yMode val="edge"/>
          <c:x val="6.5951696690732815E-4"/>
          <c:y val="2.3861041760023989E-3"/>
        </c:manualLayout>
      </c:layout>
      <c:overlay val="0"/>
      <c:spPr>
        <a:noFill/>
        <a:ln w="25400">
          <a:noFill/>
        </a:ln>
      </c:spPr>
    </c:title>
    <c:autoTitleDeleted val="0"/>
    <c:plotArea>
      <c:layout>
        <c:manualLayout>
          <c:layoutTarget val="inner"/>
          <c:xMode val="edge"/>
          <c:yMode val="edge"/>
          <c:x val="0.13290498272696147"/>
          <c:y val="9.1666666666666924E-2"/>
          <c:w val="0.81571161806355474"/>
          <c:h val="0.69908915682414763"/>
        </c:manualLayout>
      </c:layout>
      <c:barChart>
        <c:barDir val="col"/>
        <c:grouping val="stacked"/>
        <c:varyColors val="0"/>
        <c:ser>
          <c:idx val="0"/>
          <c:order val="0"/>
          <c:tx>
            <c:strRef>
              <c:f>CALCS!$J$4</c:f>
              <c:strCache>
                <c:ptCount val="1"/>
                <c:pt idx="0">
                  <c:v>Long</c:v>
                </c:pt>
              </c:strCache>
            </c:strRef>
          </c:tx>
          <c:spPr>
            <a:solidFill>
              <a:srgbClr val="004080"/>
            </a:solidFill>
          </c:spPr>
          <c:invertIfNegative val="0"/>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CALCS!$J$5:$J$54</c:f>
              <c:numCache>
                <c:formatCode>0%</c:formatCode>
                <c:ptCount val="50"/>
                <c:pt idx="0">
                  <c:v>0.8</c:v>
                </c:pt>
                <c:pt idx="1">
                  <c:v>0.68379999999999996</c:v>
                </c:pt>
                <c:pt idx="2">
                  <c:v>0.78480000000000005</c:v>
                </c:pt>
                <c:pt idx="3">
                  <c:v>0.82769999999999999</c:v>
                </c:pt>
                <c:pt idx="4">
                  <c:v>0.96560000000000001</c:v>
                </c:pt>
                <c:pt idx="5">
                  <c:v>0.85450000000000004</c:v>
                </c:pt>
                <c:pt idx="6">
                  <c:v>0.82669999999999999</c:v>
                </c:pt>
                <c:pt idx="7">
                  <c:v>0.88229999999999997</c:v>
                </c:pt>
                <c:pt idx="8">
                  <c:v>1.1652</c:v>
                </c:pt>
                <c:pt idx="9">
                  <c:v>1.1807000000000001</c:v>
                </c:pt>
                <c:pt idx="10">
                  <c:v>1.3365</c:v>
                </c:pt>
                <c:pt idx="11">
                  <c:v>1.0217000000000001</c:v>
                </c:pt>
                <c:pt idx="12">
                  <c:v>0.9022</c:v>
                </c:pt>
                <c:pt idx="13">
                  <c:v>0.93169999999999997</c:v>
                </c:pt>
                <c:pt idx="14">
                  <c:v>0.79349999999999998</c:v>
                </c:pt>
                <c:pt idx="15">
                  <c:v>0.67810000000000004</c:v>
                </c:pt>
                <c:pt idx="16">
                  <c:v>0.83169999999999999</c:v>
                </c:pt>
                <c:pt idx="17">
                  <c:v>0.72</c:v>
                </c:pt>
                <c:pt idx="18">
                  <c:v>0.93359999999999999</c:v>
                </c:pt>
                <c:pt idx="19">
                  <c:v>0.98009999999999997</c:v>
                </c:pt>
                <c:pt idx="20">
                  <c:v>0.99709999999999999</c:v>
                </c:pt>
                <c:pt idx="21">
                  <c:v>1.1389</c:v>
                </c:pt>
                <c:pt idx="22">
                  <c:v>1.2531000000000001</c:v>
                </c:pt>
                <c:pt idx="23">
                  <c:v>1.0888</c:v>
                </c:pt>
                <c:pt idx="24">
                  <c:v>0.61460000000000004</c:v>
                </c:pt>
                <c:pt idx="25">
                  <c:v>0.51300000000000001</c:v>
                </c:pt>
                <c:pt idx="26">
                  <c:v>0.54710000000000003</c:v>
                </c:pt>
                <c:pt idx="27">
                  <c:v>0.39910000000000001</c:v>
                </c:pt>
                <c:pt idx="28">
                  <c:v>0.48959999999999998</c:v>
                </c:pt>
                <c:pt idx="29">
                  <c:v>0.49059999999999998</c:v>
                </c:pt>
                <c:pt idx="30">
                  <c:v>0.45860000000000001</c:v>
                </c:pt>
                <c:pt idx="31">
                  <c:v>0.76060000000000005</c:v>
                </c:pt>
                <c:pt idx="32">
                  <c:v>0.86350000000000005</c:v>
                </c:pt>
                <c:pt idx="33">
                  <c:v>0.99629999999999996</c:v>
                </c:pt>
                <c:pt idx="34">
                  <c:v>0.98919999999999997</c:v>
                </c:pt>
                <c:pt idx="35">
                  <c:v>0.8619</c:v>
                </c:pt>
                <c:pt idx="36">
                  <c:v>1.2609999999999999</c:v>
                </c:pt>
                <c:pt idx="37">
                  <c:v>1.1811</c:v>
                </c:pt>
                <c:pt idx="38">
                  <c:v>1.0464</c:v>
                </c:pt>
                <c:pt idx="39">
                  <c:v>1.2509999999999999</c:v>
                </c:pt>
                <c:pt idx="40">
                  <c:v>1.2818000000000001</c:v>
                </c:pt>
                <c:pt idx="41">
                  <c:v>1.1339999999999999</c:v>
                </c:pt>
                <c:pt idx="42">
                  <c:v>1.3853</c:v>
                </c:pt>
                <c:pt idx="43">
                  <c:v>1.3511</c:v>
                </c:pt>
                <c:pt idx="44">
                  <c:v>1.2650999999999999</c:v>
                </c:pt>
                <c:pt idx="45">
                  <c:v>1.5089999999999999</c:v>
                </c:pt>
                <c:pt idx="46">
                  <c:v>1.5391999999999999</c:v>
                </c:pt>
                <c:pt idx="47">
                  <c:v>1.6168</c:v>
                </c:pt>
                <c:pt idx="48">
                  <c:v>1.7341</c:v>
                </c:pt>
                <c:pt idx="49">
                  <c:v>1.3951</c:v>
                </c:pt>
              </c:numCache>
            </c:numRef>
          </c:val>
          <c:extLst>
            <c:ext xmlns:c16="http://schemas.microsoft.com/office/drawing/2014/chart" uri="{C3380CC4-5D6E-409C-BE32-E72D297353CC}">
              <c16:uniqueId val="{00000000-4A74-483B-9B5F-81CC816E83E5}"/>
            </c:ext>
          </c:extLst>
        </c:ser>
        <c:ser>
          <c:idx val="1"/>
          <c:order val="1"/>
          <c:tx>
            <c:strRef>
              <c:f>CALCS!$K$4</c:f>
              <c:strCache>
                <c:ptCount val="1"/>
                <c:pt idx="0">
                  <c:v>Short</c:v>
                </c:pt>
              </c:strCache>
            </c:strRef>
          </c:tx>
          <c:spPr>
            <a:solidFill>
              <a:srgbClr val="B3B3B3"/>
            </a:solidFill>
            <a:effectLst/>
          </c:spPr>
          <c:invertIfNegative val="0"/>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CALCS!$L$5:$L$54</c:f>
              <c:numCache>
                <c:formatCode>0%</c:formatCode>
                <c:ptCount val="50"/>
                <c:pt idx="0">
                  <c:v>-0.2</c:v>
                </c:pt>
                <c:pt idx="1">
                  <c:v>-0.23899999999999999</c:v>
                </c:pt>
                <c:pt idx="2">
                  <c:v>-0.27579999999999999</c:v>
                </c:pt>
                <c:pt idx="3">
                  <c:v>-0.1414</c:v>
                </c:pt>
                <c:pt idx="4">
                  <c:v>-0.16589999999999999</c:v>
                </c:pt>
                <c:pt idx="5">
                  <c:v>-0.61829999999999996</c:v>
                </c:pt>
                <c:pt idx="6">
                  <c:v>-0.54610000000000003</c:v>
                </c:pt>
                <c:pt idx="7">
                  <c:v>-0.37440000000000001</c:v>
                </c:pt>
                <c:pt idx="8">
                  <c:v>-0.62509999999999999</c:v>
                </c:pt>
                <c:pt idx="9">
                  <c:v>-0.42699999999999999</c:v>
                </c:pt>
                <c:pt idx="10">
                  <c:v>-0.53129999999999999</c:v>
                </c:pt>
                <c:pt idx="11">
                  <c:v>-0.54910000000000003</c:v>
                </c:pt>
                <c:pt idx="12">
                  <c:v>-0.51870000000000005</c:v>
                </c:pt>
                <c:pt idx="13">
                  <c:v>-0.34420000000000001</c:v>
                </c:pt>
                <c:pt idx="14">
                  <c:v>-0.26169999999999999</c:v>
                </c:pt>
                <c:pt idx="15">
                  <c:v>-0.29420000000000002</c:v>
                </c:pt>
                <c:pt idx="16">
                  <c:v>-0.36880000000000002</c:v>
                </c:pt>
                <c:pt idx="17">
                  <c:v>-0.48070000000000002</c:v>
                </c:pt>
                <c:pt idx="18">
                  <c:v>-0.32929999999999998</c:v>
                </c:pt>
                <c:pt idx="19">
                  <c:v>-0.28810000000000002</c:v>
                </c:pt>
                <c:pt idx="20">
                  <c:v>-0.28820000000000001</c:v>
                </c:pt>
                <c:pt idx="21">
                  <c:v>-0.49370000000000003</c:v>
                </c:pt>
                <c:pt idx="22">
                  <c:v>-0.69989999999999997</c:v>
                </c:pt>
                <c:pt idx="23">
                  <c:v>-0.82150000000000001</c:v>
                </c:pt>
                <c:pt idx="24">
                  <c:v>-0.3261</c:v>
                </c:pt>
                <c:pt idx="25">
                  <c:v>-0.3175</c:v>
                </c:pt>
                <c:pt idx="26">
                  <c:v>-0.4415</c:v>
                </c:pt>
                <c:pt idx="27">
                  <c:v>-0.35909999999999997</c:v>
                </c:pt>
                <c:pt idx="28">
                  <c:v>-0.55089999999999995</c:v>
                </c:pt>
                <c:pt idx="29">
                  <c:v>-0.4572</c:v>
                </c:pt>
                <c:pt idx="30">
                  <c:v>-0.51370000000000005</c:v>
                </c:pt>
                <c:pt idx="31">
                  <c:v>-0.50980000000000003</c:v>
                </c:pt>
                <c:pt idx="32">
                  <c:v>-0.57199999999999995</c:v>
                </c:pt>
                <c:pt idx="33">
                  <c:v>-0.69869999999999999</c:v>
                </c:pt>
                <c:pt idx="34">
                  <c:v>-0.73240000000000005</c:v>
                </c:pt>
                <c:pt idx="35">
                  <c:v>-0.62309999999999999</c:v>
                </c:pt>
                <c:pt idx="36">
                  <c:v>-0.72599999999999998</c:v>
                </c:pt>
                <c:pt idx="37">
                  <c:v>-0.66310000000000002</c:v>
                </c:pt>
                <c:pt idx="38">
                  <c:v>-0.76319999999999999</c:v>
                </c:pt>
                <c:pt idx="39">
                  <c:v>-0.5403</c:v>
                </c:pt>
                <c:pt idx="40">
                  <c:v>-0.57110000000000005</c:v>
                </c:pt>
                <c:pt idx="41">
                  <c:v>-0.45779999999999998</c:v>
                </c:pt>
                <c:pt idx="42">
                  <c:v>-0.59599999999999997</c:v>
                </c:pt>
                <c:pt idx="43">
                  <c:v>-0.66569999999999996</c:v>
                </c:pt>
                <c:pt idx="44">
                  <c:v>-0.70189999999999997</c:v>
                </c:pt>
                <c:pt idx="45">
                  <c:v>-0.55030000000000001</c:v>
                </c:pt>
                <c:pt idx="46">
                  <c:v>-0.30990000000000001</c:v>
                </c:pt>
                <c:pt idx="47">
                  <c:v>-0.81710000000000005</c:v>
                </c:pt>
                <c:pt idx="48">
                  <c:v>-0.94020000000000004</c:v>
                </c:pt>
                <c:pt idx="49">
                  <c:v>-0.70799999999999996</c:v>
                </c:pt>
              </c:numCache>
            </c:numRef>
          </c:val>
          <c:extLst>
            <c:ext xmlns:c16="http://schemas.microsoft.com/office/drawing/2014/chart" uri="{C3380CC4-5D6E-409C-BE32-E72D297353CC}">
              <c16:uniqueId val="{00000001-4A74-483B-9B5F-81CC816E83E5}"/>
            </c:ext>
          </c:extLst>
        </c:ser>
        <c:dLbls>
          <c:showLegendKey val="0"/>
          <c:showVal val="0"/>
          <c:showCatName val="0"/>
          <c:showSerName val="0"/>
          <c:showPercent val="0"/>
          <c:showBubbleSize val="0"/>
        </c:dLbls>
        <c:gapWidth val="0"/>
        <c:overlap val="100"/>
        <c:axId val="57116928"/>
        <c:axId val="57135104"/>
      </c:barChart>
      <c:lineChart>
        <c:grouping val="standard"/>
        <c:varyColors val="0"/>
        <c:ser>
          <c:idx val="2"/>
          <c:order val="2"/>
          <c:tx>
            <c:strRef>
              <c:f>CALCS!$M$4</c:f>
              <c:strCache>
                <c:ptCount val="1"/>
                <c:pt idx="0">
                  <c:v>Gross</c:v>
                </c:pt>
              </c:strCache>
            </c:strRef>
          </c:tx>
          <c:spPr>
            <a:ln w="25400">
              <a:solidFill>
                <a:srgbClr val="000000"/>
              </a:solidFill>
              <a:prstDash val="solid"/>
            </a:ln>
          </c:spPr>
          <c:marker>
            <c:symbol val="none"/>
          </c:marker>
          <c:val>
            <c:numRef>
              <c:f>CALCS!$M$5:$M$54</c:f>
              <c:numCache>
                <c:formatCode>0%</c:formatCode>
                <c:ptCount val="50"/>
                <c:pt idx="0">
                  <c:v>1</c:v>
                </c:pt>
                <c:pt idx="1">
                  <c:v>0.92279999999999995</c:v>
                </c:pt>
                <c:pt idx="2">
                  <c:v>1.0606</c:v>
                </c:pt>
                <c:pt idx="3">
                  <c:v>0.96909999999999996</c:v>
                </c:pt>
                <c:pt idx="4">
                  <c:v>1.1315</c:v>
                </c:pt>
                <c:pt idx="5">
                  <c:v>1.4727999999999999</c:v>
                </c:pt>
                <c:pt idx="6">
                  <c:v>1.3728</c:v>
                </c:pt>
                <c:pt idx="7">
                  <c:v>1.2566999999999999</c:v>
                </c:pt>
                <c:pt idx="8">
                  <c:v>1.7903</c:v>
                </c:pt>
                <c:pt idx="9">
                  <c:v>1.6077000000000001</c:v>
                </c:pt>
                <c:pt idx="10">
                  <c:v>1.8677999999999999</c:v>
                </c:pt>
                <c:pt idx="11">
                  <c:v>1.5708000000000002</c:v>
                </c:pt>
                <c:pt idx="12">
                  <c:v>1.4209000000000001</c:v>
                </c:pt>
                <c:pt idx="13">
                  <c:v>1.2759</c:v>
                </c:pt>
                <c:pt idx="14">
                  <c:v>1.0551999999999999</c:v>
                </c:pt>
                <c:pt idx="15">
                  <c:v>0.97230000000000005</c:v>
                </c:pt>
                <c:pt idx="16">
                  <c:v>1.2004999999999999</c:v>
                </c:pt>
                <c:pt idx="17">
                  <c:v>1.2006999999999999</c:v>
                </c:pt>
                <c:pt idx="18">
                  <c:v>1.2628999999999999</c:v>
                </c:pt>
                <c:pt idx="19">
                  <c:v>1.2682</c:v>
                </c:pt>
                <c:pt idx="20">
                  <c:v>1.2852999999999999</c:v>
                </c:pt>
                <c:pt idx="21">
                  <c:v>1.6326000000000001</c:v>
                </c:pt>
                <c:pt idx="22">
                  <c:v>1.9530000000000001</c:v>
                </c:pt>
                <c:pt idx="23">
                  <c:v>1.9102999999999999</c:v>
                </c:pt>
                <c:pt idx="24">
                  <c:v>0.94070000000000009</c:v>
                </c:pt>
                <c:pt idx="25">
                  <c:v>0.83050000000000002</c:v>
                </c:pt>
                <c:pt idx="26">
                  <c:v>0.98860000000000003</c:v>
                </c:pt>
                <c:pt idx="27">
                  <c:v>0.75819999999999999</c:v>
                </c:pt>
                <c:pt idx="28">
                  <c:v>1.0405</c:v>
                </c:pt>
                <c:pt idx="29">
                  <c:v>0.94779999999999998</c:v>
                </c:pt>
                <c:pt idx="30">
                  <c:v>0.97230000000000005</c:v>
                </c:pt>
                <c:pt idx="31">
                  <c:v>1.2704</c:v>
                </c:pt>
                <c:pt idx="32">
                  <c:v>1.4355</c:v>
                </c:pt>
                <c:pt idx="33">
                  <c:v>1.6949999999999998</c:v>
                </c:pt>
                <c:pt idx="34">
                  <c:v>1.7216</c:v>
                </c:pt>
                <c:pt idx="35">
                  <c:v>1.4849999999999999</c:v>
                </c:pt>
                <c:pt idx="36">
                  <c:v>1.9869999999999999</c:v>
                </c:pt>
                <c:pt idx="37">
                  <c:v>1.8442000000000001</c:v>
                </c:pt>
                <c:pt idx="38">
                  <c:v>1.8096000000000001</c:v>
                </c:pt>
                <c:pt idx="39">
                  <c:v>1.7912999999999999</c:v>
                </c:pt>
                <c:pt idx="40">
                  <c:v>1.8529</c:v>
                </c:pt>
                <c:pt idx="41">
                  <c:v>1.5917999999999999</c:v>
                </c:pt>
                <c:pt idx="42">
                  <c:v>1.9813000000000001</c:v>
                </c:pt>
                <c:pt idx="43">
                  <c:v>2.0167999999999999</c:v>
                </c:pt>
                <c:pt idx="44">
                  <c:v>1.9669999999999999</c:v>
                </c:pt>
                <c:pt idx="45">
                  <c:v>2.0592999999999999</c:v>
                </c:pt>
                <c:pt idx="46">
                  <c:v>1.8491</c:v>
                </c:pt>
                <c:pt idx="47">
                  <c:v>2.4339</c:v>
                </c:pt>
                <c:pt idx="48">
                  <c:v>2.6743000000000001</c:v>
                </c:pt>
                <c:pt idx="49">
                  <c:v>2.1031</c:v>
                </c:pt>
              </c:numCache>
            </c:numRef>
          </c:val>
          <c:smooth val="0"/>
          <c:extLst>
            <c:ext xmlns:c16="http://schemas.microsoft.com/office/drawing/2014/chart" uri="{C3380CC4-5D6E-409C-BE32-E72D297353CC}">
              <c16:uniqueId val="{00000002-4A74-483B-9B5F-81CC816E83E5}"/>
            </c:ext>
          </c:extLst>
        </c:ser>
        <c:ser>
          <c:idx val="3"/>
          <c:order val="3"/>
          <c:tx>
            <c:strRef>
              <c:f>CALCS!$N$4</c:f>
              <c:strCache>
                <c:ptCount val="1"/>
                <c:pt idx="0">
                  <c:v>Net</c:v>
                </c:pt>
              </c:strCache>
            </c:strRef>
          </c:tx>
          <c:spPr>
            <a:ln w="25400">
              <a:solidFill>
                <a:srgbClr val="66FF66"/>
              </a:solidFill>
            </a:ln>
          </c:spPr>
          <c:marker>
            <c:symbol val="none"/>
          </c:marker>
          <c:val>
            <c:numRef>
              <c:f>CALCS!$N$5:$N$54</c:f>
              <c:numCache>
                <c:formatCode>0%</c:formatCode>
                <c:ptCount val="50"/>
                <c:pt idx="0">
                  <c:v>0.60000000000000009</c:v>
                </c:pt>
                <c:pt idx="1">
                  <c:v>0.44479999999999997</c:v>
                </c:pt>
                <c:pt idx="2">
                  <c:v>0.50900000000000012</c:v>
                </c:pt>
                <c:pt idx="3">
                  <c:v>0.68630000000000002</c:v>
                </c:pt>
                <c:pt idx="4">
                  <c:v>0.79970000000000008</c:v>
                </c:pt>
                <c:pt idx="5">
                  <c:v>0.23620000000000008</c:v>
                </c:pt>
                <c:pt idx="6">
                  <c:v>0.28059999999999996</c:v>
                </c:pt>
                <c:pt idx="7">
                  <c:v>0.50790000000000002</c:v>
                </c:pt>
                <c:pt idx="8">
                  <c:v>0.54010000000000002</c:v>
                </c:pt>
                <c:pt idx="9">
                  <c:v>0.75370000000000004</c:v>
                </c:pt>
                <c:pt idx="10">
                  <c:v>0.80520000000000003</c:v>
                </c:pt>
                <c:pt idx="11">
                  <c:v>0.47260000000000002</c:v>
                </c:pt>
                <c:pt idx="12">
                  <c:v>0.38349999999999995</c:v>
                </c:pt>
                <c:pt idx="13">
                  <c:v>0.58749999999999991</c:v>
                </c:pt>
                <c:pt idx="14">
                  <c:v>0.53180000000000005</c:v>
                </c:pt>
                <c:pt idx="15">
                  <c:v>0.38390000000000002</c:v>
                </c:pt>
                <c:pt idx="16">
                  <c:v>0.46289999999999998</c:v>
                </c:pt>
                <c:pt idx="17">
                  <c:v>0.23929999999999996</c:v>
                </c:pt>
                <c:pt idx="18">
                  <c:v>0.60430000000000006</c:v>
                </c:pt>
                <c:pt idx="19">
                  <c:v>0.69199999999999995</c:v>
                </c:pt>
                <c:pt idx="20">
                  <c:v>0.70889999999999997</c:v>
                </c:pt>
                <c:pt idx="21">
                  <c:v>0.6452</c:v>
                </c:pt>
                <c:pt idx="22">
                  <c:v>0.55320000000000014</c:v>
                </c:pt>
                <c:pt idx="23">
                  <c:v>0.26729999999999998</c:v>
                </c:pt>
                <c:pt idx="24">
                  <c:v>0.28850000000000003</c:v>
                </c:pt>
                <c:pt idx="25">
                  <c:v>0.19550000000000001</c:v>
                </c:pt>
                <c:pt idx="26">
                  <c:v>0.10560000000000003</c:v>
                </c:pt>
                <c:pt idx="27">
                  <c:v>4.0000000000000036E-2</c:v>
                </c:pt>
                <c:pt idx="28">
                  <c:v>-6.1299999999999966E-2</c:v>
                </c:pt>
                <c:pt idx="29">
                  <c:v>3.3399999999999985E-2</c:v>
                </c:pt>
                <c:pt idx="30">
                  <c:v>-5.5100000000000038E-2</c:v>
                </c:pt>
                <c:pt idx="31">
                  <c:v>0.25080000000000002</c:v>
                </c:pt>
                <c:pt idx="32">
                  <c:v>0.29150000000000009</c:v>
                </c:pt>
                <c:pt idx="33">
                  <c:v>0.29759999999999998</c:v>
                </c:pt>
                <c:pt idx="34">
                  <c:v>0.25679999999999992</c:v>
                </c:pt>
                <c:pt idx="35">
                  <c:v>0.23880000000000001</c:v>
                </c:pt>
                <c:pt idx="36">
                  <c:v>0.53499999999999992</c:v>
                </c:pt>
                <c:pt idx="37">
                  <c:v>0.51800000000000002</c:v>
                </c:pt>
                <c:pt idx="38">
                  <c:v>0.28320000000000001</c:v>
                </c:pt>
                <c:pt idx="39">
                  <c:v>0.71069999999999989</c:v>
                </c:pt>
                <c:pt idx="40">
                  <c:v>0.7107</c:v>
                </c:pt>
                <c:pt idx="41">
                  <c:v>0.67619999999999991</c:v>
                </c:pt>
                <c:pt idx="42">
                  <c:v>0.7893</c:v>
                </c:pt>
                <c:pt idx="43">
                  <c:v>0.68540000000000001</c:v>
                </c:pt>
                <c:pt idx="44">
                  <c:v>0.56319999999999992</c:v>
                </c:pt>
                <c:pt idx="45">
                  <c:v>0.95869999999999989</c:v>
                </c:pt>
                <c:pt idx="46">
                  <c:v>1.2292999999999998</c:v>
                </c:pt>
                <c:pt idx="47">
                  <c:v>0.79969999999999997</c:v>
                </c:pt>
                <c:pt idx="48">
                  <c:v>0.79389999999999994</c:v>
                </c:pt>
                <c:pt idx="49">
                  <c:v>0.68710000000000004</c:v>
                </c:pt>
              </c:numCache>
            </c:numRef>
          </c:val>
          <c:smooth val="0"/>
          <c:extLst>
            <c:ext xmlns:c16="http://schemas.microsoft.com/office/drawing/2014/chart" uri="{C3380CC4-5D6E-409C-BE32-E72D297353CC}">
              <c16:uniqueId val="{00000003-4A74-483B-9B5F-81CC816E83E5}"/>
            </c:ext>
          </c:extLst>
        </c:ser>
        <c:dLbls>
          <c:showLegendKey val="0"/>
          <c:showVal val="0"/>
          <c:showCatName val="0"/>
          <c:showSerName val="0"/>
          <c:showPercent val="0"/>
          <c:showBubbleSize val="0"/>
        </c:dLbls>
        <c:marker val="1"/>
        <c:smooth val="0"/>
        <c:axId val="57116928"/>
        <c:axId val="57135104"/>
      </c:lineChart>
      <c:dateAx>
        <c:axId val="57116928"/>
        <c:scaling>
          <c:orientation val="minMax"/>
        </c:scaling>
        <c:delete val="0"/>
        <c:axPos val="b"/>
        <c:numFmt formatCode="mmm\-yy" sourceLinked="0"/>
        <c:majorTickMark val="none"/>
        <c:minorTickMark val="none"/>
        <c:tickLblPos val="low"/>
        <c:txPr>
          <a:bodyPr rot="0" vert="horz"/>
          <a:lstStyle/>
          <a:p>
            <a:pPr>
              <a:defRPr sz="750" b="0" i="0" u="none" strike="noStrike" baseline="0">
                <a:solidFill>
                  <a:srgbClr val="000000"/>
                </a:solidFill>
                <a:latin typeface="Myriad Pro"/>
                <a:ea typeface="Myriad Pro"/>
                <a:cs typeface="Myriad Pro"/>
              </a:defRPr>
            </a:pPr>
            <a:endParaRPr lang="en-US"/>
          </a:p>
        </c:txPr>
        <c:crossAx val="57135104"/>
        <c:crosses val="autoZero"/>
        <c:auto val="1"/>
        <c:lblOffset val="100"/>
        <c:baseTimeUnit val="months"/>
      </c:dateAx>
      <c:valAx>
        <c:axId val="57135104"/>
        <c:scaling>
          <c:orientation val="minMax"/>
          <c:max val="2.9417300000000002"/>
          <c:min val="-1.0342200000000001"/>
        </c:scaling>
        <c:delete val="0"/>
        <c:axPos val="l"/>
        <c:majorGridlines>
          <c:spPr>
            <a:ln>
              <a:solidFill>
                <a:srgbClr val="B3B3B3"/>
              </a:solidFill>
            </a:ln>
          </c:spPr>
        </c:majorGridlines>
        <c:numFmt formatCode="0%" sourceLinked="1"/>
        <c:majorTickMark val="none"/>
        <c:minorTickMark val="none"/>
        <c:tickLblPos val="nextTo"/>
        <c:spPr>
          <a:ln>
            <a:noFill/>
          </a:ln>
        </c:spPr>
        <c:crossAx val="57116928"/>
        <c:crosses val="autoZero"/>
        <c:crossBetween val="between"/>
      </c:valAx>
    </c:plotArea>
    <c:legend>
      <c:legendPos val="r"/>
      <c:layout>
        <c:manualLayout>
          <c:xMode val="edge"/>
          <c:yMode val="edge"/>
          <c:x val="2.6785792136905212E-2"/>
          <c:y val="0.898377550088725"/>
          <c:w val="0.96131231780226123"/>
          <c:h val="7.3171022179172068E-2"/>
        </c:manualLayout>
      </c:layout>
      <c:overlay val="0"/>
    </c:legend>
    <c:plotVisOnly val="1"/>
    <c:dispBlanksAs val="gap"/>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750"/>
            </a:pPr>
            <a:r>
              <a:rPr lang="en-US" sz="750"/>
              <a:t>growtth</a:t>
            </a:r>
            <a:r>
              <a:rPr lang="en-US" sz="750" baseline="0"/>
              <a:t> of $1000 since inception</a:t>
            </a:r>
            <a:endParaRPr lang="en-US" sz="750"/>
          </a:p>
        </c:rich>
      </c:tx>
      <c:layout>
        <c:manualLayout>
          <c:xMode val="edge"/>
          <c:yMode val="edge"/>
          <c:x val="5.4662550441106931E-3"/>
          <c:y val="4.5711187510012099E-3"/>
        </c:manualLayout>
      </c:layout>
      <c:overlay val="0"/>
      <c:spPr>
        <a:noFill/>
        <a:ln w="25400">
          <a:noFill/>
        </a:ln>
      </c:spPr>
    </c:title>
    <c:autoTitleDeleted val="0"/>
    <c:plotArea>
      <c:layout>
        <c:manualLayout>
          <c:layoutTarget val="inner"/>
          <c:xMode val="edge"/>
          <c:yMode val="edge"/>
          <c:x val="0.20248514988258037"/>
          <c:y val="9.0361445783132835E-2"/>
          <c:w val="0.72149145830455663"/>
          <c:h val="0.699330708661417"/>
        </c:manualLayout>
      </c:layout>
      <c:lineChart>
        <c:grouping val="standard"/>
        <c:varyColors val="0"/>
        <c:ser>
          <c:idx val="0"/>
          <c:order val="0"/>
          <c:tx>
            <c:v>XI_IXIC</c:v>
          </c:tx>
          <c:spPr>
            <a:ln w="25400">
              <a:solidFill>
                <a:srgbClr val="B3B3B3"/>
              </a:solidFill>
            </a:ln>
          </c:spPr>
          <c:marker>
            <c:symbol val="none"/>
          </c:marker>
          <c:cat>
            <c:numRef>
              <c:f>CALCS!$A$5:$A$69</c:f>
              <c:numCache>
                <c:formatCode>mmm\-yy</c:formatCode>
                <c:ptCount val="65"/>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CALCS!$F$5:$F$69</c:f>
              <c:numCache>
                <c:formatCode>"$"#,##0</c:formatCode>
                <c:ptCount val="65"/>
                <c:pt idx="0">
                  <c:v>1000</c:v>
                </c:pt>
                <c:pt idx="1">
                  <c:v>1008.6</c:v>
                </c:pt>
                <c:pt idx="2">
                  <c:v>1016.56</c:v>
                </c:pt>
                <c:pt idx="3">
                  <c:v>1034.45</c:v>
                </c:pt>
                <c:pt idx="4">
                  <c:v>1033.83</c:v>
                </c:pt>
                <c:pt idx="5">
                  <c:v>1012.12</c:v>
                </c:pt>
                <c:pt idx="6">
                  <c:v>994.41</c:v>
                </c:pt>
                <c:pt idx="7">
                  <c:v>1010.92</c:v>
                </c:pt>
                <c:pt idx="8">
                  <c:v>1054.79</c:v>
                </c:pt>
                <c:pt idx="9">
                  <c:v>1014.18</c:v>
                </c:pt>
                <c:pt idx="10">
                  <c:v>944.61</c:v>
                </c:pt>
                <c:pt idx="11">
                  <c:v>961.9</c:v>
                </c:pt>
                <c:pt idx="12">
                  <c:v>981.52</c:v>
                </c:pt>
                <c:pt idx="13">
                  <c:v>987.21</c:v>
                </c:pt>
                <c:pt idx="14">
                  <c:v>952.46</c:v>
                </c:pt>
                <c:pt idx="15">
                  <c:v>927.6</c:v>
                </c:pt>
                <c:pt idx="16">
                  <c:v>912.48</c:v>
                </c:pt>
                <c:pt idx="17">
                  <c:v>837.38</c:v>
                </c:pt>
                <c:pt idx="18">
                  <c:v>831.77</c:v>
                </c:pt>
                <c:pt idx="19">
                  <c:v>858.97</c:v>
                </c:pt>
                <c:pt idx="20">
                  <c:v>848.67</c:v>
                </c:pt>
                <c:pt idx="21">
                  <c:v>727.31</c:v>
                </c:pt>
                <c:pt idx="22">
                  <c:v>793.42</c:v>
                </c:pt>
                <c:pt idx="23">
                  <c:v>826.35</c:v>
                </c:pt>
                <c:pt idx="24">
                  <c:v>825.35</c:v>
                </c:pt>
                <c:pt idx="25">
                  <c:v>717.31</c:v>
                </c:pt>
                <c:pt idx="26">
                  <c:v>643.65</c:v>
                </c:pt>
                <c:pt idx="27">
                  <c:v>639.78</c:v>
                </c:pt>
                <c:pt idx="28">
                  <c:v>508.11</c:v>
                </c:pt>
                <c:pt idx="29">
                  <c:v>463.76</c:v>
                </c:pt>
                <c:pt idx="30">
                  <c:v>523.44000000000005</c:v>
                </c:pt>
                <c:pt idx="31">
                  <c:v>557.67999999999995</c:v>
                </c:pt>
                <c:pt idx="32">
                  <c:v>588.12</c:v>
                </c:pt>
                <c:pt idx="33">
                  <c:v>577.41999999999996</c:v>
                </c:pt>
                <c:pt idx="34">
                  <c:v>613.57000000000005</c:v>
                </c:pt>
                <c:pt idx="35">
                  <c:v>626.39</c:v>
                </c:pt>
                <c:pt idx="36">
                  <c:v>638.48</c:v>
                </c:pt>
                <c:pt idx="37">
                  <c:v>604.26</c:v>
                </c:pt>
                <c:pt idx="38">
                  <c:v>627.46</c:v>
                </c:pt>
                <c:pt idx="39">
                  <c:v>648.04</c:v>
                </c:pt>
                <c:pt idx="40">
                  <c:v>622.05999999999995</c:v>
                </c:pt>
                <c:pt idx="41">
                  <c:v>656.77</c:v>
                </c:pt>
                <c:pt idx="42">
                  <c:v>698.41</c:v>
                </c:pt>
                <c:pt idx="43">
                  <c:v>729.97</c:v>
                </c:pt>
                <c:pt idx="44">
                  <c:v>665.59</c:v>
                </c:pt>
                <c:pt idx="45">
                  <c:v>616</c:v>
                </c:pt>
                <c:pt idx="46">
                  <c:v>638.17999999999995</c:v>
                </c:pt>
                <c:pt idx="47">
                  <c:v>579.66</c:v>
                </c:pt>
                <c:pt idx="48">
                  <c:v>624.35</c:v>
                </c:pt>
                <c:pt idx="49">
                  <c:v>642.96</c:v>
                </c:pt>
              </c:numCache>
            </c:numRef>
          </c:val>
          <c:smooth val="0"/>
          <c:extLst>
            <c:ext xmlns:c16="http://schemas.microsoft.com/office/drawing/2014/chart" uri="{C3380CC4-5D6E-409C-BE32-E72D297353CC}">
              <c16:uniqueId val="{00000000-221D-4A75-84D7-82B3B4079940}"/>
            </c:ext>
          </c:extLst>
        </c:ser>
        <c:ser>
          <c:idx val="1"/>
          <c:order val="1"/>
          <c:tx>
            <c:v>FUND</c:v>
          </c:tx>
          <c:spPr>
            <a:ln w="31750">
              <a:solidFill>
                <a:srgbClr val="004080"/>
              </a:solidFill>
            </a:ln>
          </c:spPr>
          <c:marker>
            <c:symbol val="none"/>
          </c:marker>
          <c:cat>
            <c:numRef>
              <c:f>CALCS!$A$5:$A$69</c:f>
              <c:numCache>
                <c:formatCode>mmm\-yy</c:formatCode>
                <c:ptCount val="65"/>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CALCS!$G$5:$G$69</c:f>
              <c:numCache>
                <c:formatCode>"$"#,##0</c:formatCode>
                <c:ptCount val="65"/>
                <c:pt idx="0">
                  <c:v>1000</c:v>
                </c:pt>
                <c:pt idx="1">
                  <c:v>1004.5</c:v>
                </c:pt>
                <c:pt idx="2">
                  <c:v>1031.42</c:v>
                </c:pt>
                <c:pt idx="3">
                  <c:v>1065.45</c:v>
                </c:pt>
                <c:pt idx="4">
                  <c:v>1068.8599999999999</c:v>
                </c:pt>
                <c:pt idx="5">
                  <c:v>1072.71</c:v>
                </c:pt>
                <c:pt idx="6">
                  <c:v>1199.08</c:v>
                </c:pt>
                <c:pt idx="7">
                  <c:v>1294.28</c:v>
                </c:pt>
                <c:pt idx="8">
                  <c:v>1292.3399999999999</c:v>
                </c:pt>
                <c:pt idx="9">
                  <c:v>1267.6600000000001</c:v>
                </c:pt>
                <c:pt idx="10">
                  <c:v>1428.52</c:v>
                </c:pt>
                <c:pt idx="11">
                  <c:v>1286.53</c:v>
                </c:pt>
                <c:pt idx="12">
                  <c:v>1378</c:v>
                </c:pt>
                <c:pt idx="13">
                  <c:v>1469.64</c:v>
                </c:pt>
                <c:pt idx="14">
                  <c:v>1562.23</c:v>
                </c:pt>
                <c:pt idx="15">
                  <c:v>1590.66</c:v>
                </c:pt>
                <c:pt idx="16">
                  <c:v>1574.91</c:v>
                </c:pt>
                <c:pt idx="17">
                  <c:v>1599.16</c:v>
                </c:pt>
                <c:pt idx="18">
                  <c:v>1470.91</c:v>
                </c:pt>
                <c:pt idx="19">
                  <c:v>1547.99</c:v>
                </c:pt>
                <c:pt idx="20">
                  <c:v>1556.66</c:v>
                </c:pt>
                <c:pt idx="21">
                  <c:v>1403.79</c:v>
                </c:pt>
                <c:pt idx="22">
                  <c:v>1416.71</c:v>
                </c:pt>
                <c:pt idx="23">
                  <c:v>1300.82</c:v>
                </c:pt>
                <c:pt idx="24">
                  <c:v>1201.05</c:v>
                </c:pt>
                <c:pt idx="25">
                  <c:v>1081.42</c:v>
                </c:pt>
                <c:pt idx="26">
                  <c:v>1092.24</c:v>
                </c:pt>
                <c:pt idx="27">
                  <c:v>1081.8599999999999</c:v>
                </c:pt>
                <c:pt idx="28">
                  <c:v>1164.3</c:v>
                </c:pt>
                <c:pt idx="29">
                  <c:v>1200.3900000000001</c:v>
                </c:pt>
                <c:pt idx="30">
                  <c:v>1155.3800000000001</c:v>
                </c:pt>
                <c:pt idx="31">
                  <c:v>1185.42</c:v>
                </c:pt>
                <c:pt idx="32">
                  <c:v>1280.01</c:v>
                </c:pt>
                <c:pt idx="33">
                  <c:v>1345.04</c:v>
                </c:pt>
                <c:pt idx="34">
                  <c:v>1375.97</c:v>
                </c:pt>
                <c:pt idx="35">
                  <c:v>1379.41</c:v>
                </c:pt>
                <c:pt idx="36">
                  <c:v>1426.59</c:v>
                </c:pt>
                <c:pt idx="37">
                  <c:v>1376.37</c:v>
                </c:pt>
                <c:pt idx="38">
                  <c:v>1383.53</c:v>
                </c:pt>
                <c:pt idx="39">
                  <c:v>1393.63</c:v>
                </c:pt>
                <c:pt idx="40">
                  <c:v>1385.13</c:v>
                </c:pt>
                <c:pt idx="41">
                  <c:v>1367.68</c:v>
                </c:pt>
                <c:pt idx="42">
                  <c:v>1442.63</c:v>
                </c:pt>
                <c:pt idx="43">
                  <c:v>1421.27</c:v>
                </c:pt>
                <c:pt idx="44">
                  <c:v>1290.3699999999999</c:v>
                </c:pt>
                <c:pt idx="45">
                  <c:v>1263.79</c:v>
                </c:pt>
                <c:pt idx="46">
                  <c:v>1409</c:v>
                </c:pt>
                <c:pt idx="47">
                  <c:v>1375.33</c:v>
                </c:pt>
                <c:pt idx="48">
                  <c:v>1497.46</c:v>
                </c:pt>
                <c:pt idx="49">
                  <c:v>1514.83</c:v>
                </c:pt>
              </c:numCache>
            </c:numRef>
          </c:val>
          <c:smooth val="0"/>
          <c:extLst>
            <c:ext xmlns:c16="http://schemas.microsoft.com/office/drawing/2014/chart" uri="{C3380CC4-5D6E-409C-BE32-E72D297353CC}">
              <c16:uniqueId val="{00000001-221D-4A75-84D7-82B3B4079940}"/>
            </c:ext>
          </c:extLst>
        </c:ser>
        <c:dLbls>
          <c:showLegendKey val="0"/>
          <c:showVal val="0"/>
          <c:showCatName val="0"/>
          <c:showSerName val="0"/>
          <c:showPercent val="0"/>
          <c:showBubbleSize val="0"/>
        </c:dLbls>
        <c:smooth val="0"/>
        <c:axId val="61620608"/>
        <c:axId val="61622144"/>
      </c:lineChart>
      <c:dateAx>
        <c:axId val="61620608"/>
        <c:scaling>
          <c:orientation val="minMax"/>
        </c:scaling>
        <c:delete val="0"/>
        <c:axPos val="b"/>
        <c:numFmt formatCode="mmm\-yy" sourceLinked="0"/>
        <c:majorTickMark val="none"/>
        <c:minorTickMark val="none"/>
        <c:tickLblPos val="nextTo"/>
        <c:txPr>
          <a:bodyPr rot="0" vert="horz"/>
          <a:lstStyle/>
          <a:p>
            <a:pPr>
              <a:defRPr sz="750" b="0" i="0" u="none" strike="noStrike" baseline="0">
                <a:solidFill>
                  <a:srgbClr val="000000"/>
                </a:solidFill>
                <a:latin typeface="Myriad Pro"/>
                <a:ea typeface="Myriad Pro"/>
                <a:cs typeface="Myriad Pro"/>
              </a:defRPr>
            </a:pPr>
            <a:endParaRPr lang="en-US"/>
          </a:p>
        </c:txPr>
        <c:crossAx val="61622144"/>
        <c:crosses val="autoZero"/>
        <c:auto val="1"/>
        <c:lblOffset val="100"/>
        <c:baseTimeUnit val="months"/>
      </c:dateAx>
      <c:valAx>
        <c:axId val="61622144"/>
        <c:scaling>
          <c:orientation val="minMax"/>
        </c:scaling>
        <c:delete val="0"/>
        <c:axPos val="l"/>
        <c:majorGridlines>
          <c:spPr>
            <a:ln>
              <a:solidFill>
                <a:srgbClr val="B3B3B3"/>
              </a:solidFill>
            </a:ln>
          </c:spPr>
        </c:majorGridlines>
        <c:numFmt formatCode="&quot;$&quot;#,##0" sourceLinked="1"/>
        <c:majorTickMark val="none"/>
        <c:minorTickMark val="none"/>
        <c:tickLblPos val="nextTo"/>
        <c:spPr>
          <a:noFill/>
          <a:ln>
            <a:noFill/>
          </a:ln>
        </c:spPr>
        <c:txPr>
          <a:bodyPr/>
          <a:lstStyle/>
          <a:p>
            <a:pPr>
              <a:defRPr sz="750"/>
            </a:pPr>
            <a:endParaRPr lang="en-US"/>
          </a:p>
        </c:txPr>
        <c:crossAx val="61620608"/>
        <c:crosses val="autoZero"/>
        <c:crossBetween val="between"/>
      </c:valAx>
    </c:plotArea>
    <c:plotVisOnly val="1"/>
    <c:dispBlanksAs val="gap"/>
    <c:showDLblsOverMax val="0"/>
  </c:chart>
  <c:spPr>
    <a:ln>
      <a:noFill/>
    </a:ln>
  </c:spPr>
  <c:txPr>
    <a:bodyPr/>
    <a:lstStyle/>
    <a:p>
      <a:pPr>
        <a:defRPr sz="800" b="0" i="0" u="none" strike="noStrike" baseline="0">
          <a:solidFill>
            <a:srgbClr val="000000"/>
          </a:solidFill>
          <a:latin typeface="Myriad Pro"/>
          <a:ea typeface="Myriad Pro"/>
          <a:cs typeface="Myriad Pro"/>
        </a:defRPr>
      </a:pPr>
      <a:endParaRPr lang="en-US"/>
    </a:p>
  </c:txPr>
  <c:printSettings>
    <c:headerFooter/>
    <c:pageMargins b="1" l="0.75000000000000111" r="0.75000000000000111"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750"/>
            </a:pPr>
            <a:r>
              <a:rPr lang="en-US" sz="750"/>
              <a:t>compounded</a:t>
            </a:r>
            <a:r>
              <a:rPr lang="en-US" sz="750" baseline="0"/>
              <a:t> annual growth rate</a:t>
            </a:r>
            <a:endParaRPr lang="en-US" sz="750"/>
          </a:p>
        </c:rich>
      </c:tx>
      <c:layout>
        <c:manualLayout>
          <c:xMode val="edge"/>
          <c:yMode val="edge"/>
          <c:x val="3.9768640031107192E-3"/>
          <c:y val="2.5839527068462261E-3"/>
        </c:manualLayout>
      </c:layout>
      <c:overlay val="0"/>
      <c:spPr>
        <a:noFill/>
        <a:ln w="25400">
          <a:noFill/>
        </a:ln>
      </c:spPr>
    </c:title>
    <c:autoTitleDeleted val="0"/>
    <c:plotArea>
      <c:layout>
        <c:manualLayout>
          <c:layoutTarget val="inner"/>
          <c:xMode val="edge"/>
          <c:yMode val="edge"/>
          <c:x val="0.18287012734519301"/>
          <c:y val="0.102409638554217"/>
          <c:w val="0.73688295907456003"/>
          <c:h val="0.68728251589033063"/>
        </c:manualLayout>
      </c:layout>
      <c:lineChart>
        <c:grouping val="standard"/>
        <c:varyColors val="0"/>
        <c:ser>
          <c:idx val="0"/>
          <c:order val="0"/>
          <c:tx>
            <c:strRef>
              <c:f>CALCS!$R$3:$R$4</c:f>
              <c:strCache>
                <c:ptCount val="2"/>
                <c:pt idx="0">
                  <c:v>Rolling 12 Months Return</c:v>
                </c:pt>
                <c:pt idx="1">
                  <c:v>1XI_IXF</c:v>
                </c:pt>
              </c:strCache>
            </c:strRef>
          </c:tx>
          <c:spPr>
            <a:ln w="25400">
              <a:solidFill>
                <a:srgbClr val="B3B3B3"/>
              </a:solidFill>
            </a:ln>
          </c:spPr>
          <c:marker>
            <c:symbol val="none"/>
          </c:marker>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CALCS!$R$17:$R$54</c:f>
              <c:numCache>
                <c:formatCode>0%</c:formatCode>
                <c:ptCount val="38"/>
                <c:pt idx="0">
                  <c:v>-1.8480000000000052E-2</c:v>
                </c:pt>
                <c:pt idx="1">
                  <c:v>-2.1207614515169504E-2</c:v>
                </c:pt>
                <c:pt idx="2">
                  <c:v>-6.3055796017942756E-2</c:v>
                </c:pt>
                <c:pt idx="3">
                  <c:v>-0.10329160423413408</c:v>
                </c:pt>
                <c:pt idx="4">
                  <c:v>-0.11737906619076632</c:v>
                </c:pt>
                <c:pt idx="5">
                  <c:v>-0.17264751215270913</c:v>
                </c:pt>
                <c:pt idx="6">
                  <c:v>-0.16355426836013309</c:v>
                </c:pt>
                <c:pt idx="7">
                  <c:v>-0.15030862976298809</c:v>
                </c:pt>
                <c:pt idx="8">
                  <c:v>-0.19541330501806042</c:v>
                </c:pt>
                <c:pt idx="9">
                  <c:v>-0.28285905854976434</c:v>
                </c:pt>
                <c:pt idx="10">
                  <c:v>-0.16005547262891573</c:v>
                </c:pt>
                <c:pt idx="11">
                  <c:v>-0.14091901445056654</c:v>
                </c:pt>
                <c:pt idx="12">
                  <c:v>-0.1591103594424973</c:v>
                </c:pt>
                <c:pt idx="13">
                  <c:v>-0.2733967443603692</c:v>
                </c:pt>
                <c:pt idx="14">
                  <c:v>-0.32422358944207641</c:v>
                </c:pt>
                <c:pt idx="15">
                  <c:v>-0.31028460543337655</c:v>
                </c:pt>
                <c:pt idx="16">
                  <c:v>-0.44315491846396637</c:v>
                </c:pt>
                <c:pt idx="17">
                  <c:v>-0.44617736272659969</c:v>
                </c:pt>
                <c:pt idx="18">
                  <c:v>-0.37069141709847664</c:v>
                </c:pt>
                <c:pt idx="19">
                  <c:v>-0.35075730235048963</c:v>
                </c:pt>
                <c:pt idx="20">
                  <c:v>-0.3070097917918625</c:v>
                </c:pt>
                <c:pt idx="21">
                  <c:v>-0.20608818798036599</c:v>
                </c:pt>
                <c:pt idx="22">
                  <c:v>-0.22667691764765185</c:v>
                </c:pt>
                <c:pt idx="23">
                  <c:v>-0.24197979064561026</c:v>
                </c:pt>
                <c:pt idx="24">
                  <c:v>-0.22641303689343917</c:v>
                </c:pt>
                <c:pt idx="25">
                  <c:v>-0.15760271012532934</c:v>
                </c:pt>
                <c:pt idx="26">
                  <c:v>-2.5153421890779071E-2</c:v>
                </c:pt>
                <c:pt idx="27">
                  <c:v>1.291068804901685E-2</c:v>
                </c:pt>
                <c:pt idx="28">
                  <c:v>0.22426246285253182</c:v>
                </c:pt>
                <c:pt idx="29">
                  <c:v>0.4161850957391755</c:v>
                </c:pt>
                <c:pt idx="30">
                  <c:v>0.33426944826532146</c:v>
                </c:pt>
                <c:pt idx="31">
                  <c:v>0.30894061110314186</c:v>
                </c:pt>
                <c:pt idx="32">
                  <c:v>0.13172481806434067</c:v>
                </c:pt>
                <c:pt idx="33">
                  <c:v>6.681445048664747E-2</c:v>
                </c:pt>
                <c:pt idx="34">
                  <c:v>4.0109522955815713E-2</c:v>
                </c:pt>
                <c:pt idx="35">
                  <c:v>-7.4602084963042214E-2</c:v>
                </c:pt>
                <c:pt idx="36">
                  <c:v>-2.2130685377772186E-2</c:v>
                </c:pt>
                <c:pt idx="37">
                  <c:v>6.4045278522490312E-2</c:v>
                </c:pt>
              </c:numCache>
            </c:numRef>
          </c:val>
          <c:smooth val="0"/>
          <c:extLst>
            <c:ext xmlns:c16="http://schemas.microsoft.com/office/drawing/2014/chart" uri="{C3380CC4-5D6E-409C-BE32-E72D297353CC}">
              <c16:uniqueId val="{00000000-10D9-42B5-8E31-780541C408BB}"/>
            </c:ext>
          </c:extLst>
        </c:ser>
        <c:ser>
          <c:idx val="1"/>
          <c:order val="1"/>
          <c:tx>
            <c:strRef>
              <c:f>CALCS!$S$3:$S$4</c:f>
              <c:strCache>
                <c:ptCount val="2"/>
                <c:pt idx="0">
                  <c:v>Rolling 12 Months Return</c:v>
                </c:pt>
                <c:pt idx="1">
                  <c:v>2F6_ALG</c:v>
                </c:pt>
              </c:strCache>
            </c:strRef>
          </c:tx>
          <c:spPr>
            <a:ln w="31750">
              <a:solidFill>
                <a:srgbClr val="004080"/>
              </a:solidFill>
            </a:ln>
          </c:spPr>
          <c:marker>
            <c:symbol val="none"/>
          </c:marker>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CALCS!$S$17:$S$54</c:f>
              <c:numCache>
                <c:formatCode>0%</c:formatCode>
                <c:ptCount val="38"/>
                <c:pt idx="0">
                  <c:v>0.37799999999999989</c:v>
                </c:pt>
                <c:pt idx="1">
                  <c:v>0.4630562468889996</c:v>
                </c:pt>
                <c:pt idx="2">
                  <c:v>0.51464001085881583</c:v>
                </c:pt>
                <c:pt idx="3">
                  <c:v>0.49294664226383222</c:v>
                </c:pt>
                <c:pt idx="4">
                  <c:v>0.47344834683681691</c:v>
                </c:pt>
                <c:pt idx="5">
                  <c:v>0.49076637674674428</c:v>
                </c:pt>
                <c:pt idx="6">
                  <c:v>0.22669880241518503</c:v>
                </c:pt>
                <c:pt idx="7">
                  <c:v>0.19602404425626596</c:v>
                </c:pt>
                <c:pt idx="8">
                  <c:v>0.20452822012783023</c:v>
                </c:pt>
                <c:pt idx="9">
                  <c:v>0.10738683874224941</c:v>
                </c:pt>
                <c:pt idx="10">
                  <c:v>-8.2672976227143868E-3</c:v>
                </c:pt>
                <c:pt idx="11">
                  <c:v>1.1107397417860376E-2</c:v>
                </c:pt>
                <c:pt idx="12">
                  <c:v>-0.1284107402031931</c:v>
                </c:pt>
                <c:pt idx="13">
                  <c:v>-0.26415993032307228</c:v>
                </c:pt>
                <c:pt idx="14">
                  <c:v>-0.30084558611728107</c:v>
                </c:pt>
                <c:pt idx="15">
                  <c:v>-0.31986722492550268</c:v>
                </c:pt>
                <c:pt idx="16">
                  <c:v>-0.26071966017105741</c:v>
                </c:pt>
                <c:pt idx="17">
                  <c:v>-0.24936216513669673</c:v>
                </c:pt>
                <c:pt idx="18">
                  <c:v>-0.21451346445397745</c:v>
                </c:pt>
                <c:pt idx="19">
                  <c:v>-0.23421985930141664</c:v>
                </c:pt>
                <c:pt idx="20">
                  <c:v>-0.1777202471959195</c:v>
                </c:pt>
                <c:pt idx="21">
                  <c:v>-4.1850989108057512E-2</c:v>
                </c:pt>
                <c:pt idx="22">
                  <c:v>-2.8756767440054731E-2</c:v>
                </c:pt>
                <c:pt idx="23">
                  <c:v>6.0415737765409538E-2</c:v>
                </c:pt>
                <c:pt idx="24">
                  <c:v>0.18778568752341696</c:v>
                </c:pt>
                <c:pt idx="25">
                  <c:v>0.27274324499269453</c:v>
                </c:pt>
                <c:pt idx="26">
                  <c:v>0.26669047095876364</c:v>
                </c:pt>
                <c:pt idx="27">
                  <c:v>0.2881796165862498</c:v>
                </c:pt>
                <c:pt idx="28">
                  <c:v>0.1896676114403506</c:v>
                </c:pt>
                <c:pt idx="29">
                  <c:v>0.13936304034522107</c:v>
                </c:pt>
                <c:pt idx="30">
                  <c:v>0.24861950180892856</c:v>
                </c:pt>
                <c:pt idx="31">
                  <c:v>0.19895901874441124</c:v>
                </c:pt>
                <c:pt idx="32">
                  <c:v>8.0936867680720948E-3</c:v>
                </c:pt>
                <c:pt idx="33">
                  <c:v>-6.0407125438648679E-2</c:v>
                </c:pt>
                <c:pt idx="34">
                  <c:v>2.4004883827408952E-2</c:v>
                </c:pt>
                <c:pt idx="35">
                  <c:v>-2.957786299939924E-3</c:v>
                </c:pt>
                <c:pt idx="36">
                  <c:v>4.9677903251810429E-2</c:v>
                </c:pt>
                <c:pt idx="37">
                  <c:v>0.10059794967922864</c:v>
                </c:pt>
              </c:numCache>
            </c:numRef>
          </c:val>
          <c:smooth val="0"/>
          <c:extLst>
            <c:ext xmlns:c16="http://schemas.microsoft.com/office/drawing/2014/chart" uri="{C3380CC4-5D6E-409C-BE32-E72D297353CC}">
              <c16:uniqueId val="{00000001-10D9-42B5-8E31-780541C408BB}"/>
            </c:ext>
          </c:extLst>
        </c:ser>
        <c:dLbls>
          <c:showLegendKey val="0"/>
          <c:showVal val="0"/>
          <c:showCatName val="0"/>
          <c:showSerName val="0"/>
          <c:showPercent val="0"/>
          <c:showBubbleSize val="0"/>
        </c:dLbls>
        <c:smooth val="0"/>
        <c:axId val="61659008"/>
        <c:axId val="61660544"/>
      </c:lineChart>
      <c:dateAx>
        <c:axId val="61659008"/>
        <c:scaling>
          <c:orientation val="minMax"/>
        </c:scaling>
        <c:delete val="0"/>
        <c:axPos val="b"/>
        <c:numFmt formatCode="mmm\-yy" sourceLinked="0"/>
        <c:majorTickMark val="none"/>
        <c:minorTickMark val="none"/>
        <c:tickLblPos val="low"/>
        <c:txPr>
          <a:bodyPr rot="0" vert="horz"/>
          <a:lstStyle/>
          <a:p>
            <a:pPr>
              <a:defRPr sz="750" b="0" i="0" u="none" strike="noStrike" baseline="0">
                <a:solidFill>
                  <a:srgbClr val="000000"/>
                </a:solidFill>
                <a:latin typeface="Myriad Pro"/>
                <a:ea typeface="Myriad Pro"/>
                <a:cs typeface="Myriad Pro"/>
              </a:defRPr>
            </a:pPr>
            <a:endParaRPr lang="en-US"/>
          </a:p>
        </c:txPr>
        <c:crossAx val="61660544"/>
        <c:crosses val="autoZero"/>
        <c:auto val="1"/>
        <c:lblOffset val="100"/>
        <c:baseTimeUnit val="months"/>
      </c:dateAx>
      <c:valAx>
        <c:axId val="61660544"/>
        <c:scaling>
          <c:orientation val="minMax"/>
          <c:max val="0.5661040119446975"/>
          <c:min val="-0.49079509899925972"/>
        </c:scaling>
        <c:delete val="0"/>
        <c:axPos val="l"/>
        <c:majorGridlines/>
        <c:numFmt formatCode="0%" sourceLinked="1"/>
        <c:majorTickMark val="none"/>
        <c:minorTickMark val="none"/>
        <c:tickLblPos val="nextTo"/>
        <c:spPr>
          <a:noFill/>
          <a:ln>
            <a:noFill/>
          </a:ln>
        </c:spPr>
        <c:txPr>
          <a:bodyPr/>
          <a:lstStyle/>
          <a:p>
            <a:pPr>
              <a:defRPr sz="750"/>
            </a:pPr>
            <a:endParaRPr lang="en-US"/>
          </a:p>
        </c:txPr>
        <c:crossAx val="61659008"/>
        <c:crosses val="autoZero"/>
        <c:crossBetween val="between"/>
      </c:valAx>
    </c:plotArea>
    <c:plotVisOnly val="1"/>
    <c:dispBlanksAs val="gap"/>
    <c:showDLblsOverMax val="0"/>
  </c:chart>
  <c:spPr>
    <a:ln>
      <a:noFill/>
    </a:ln>
  </c:spPr>
  <c:txPr>
    <a:bodyPr/>
    <a:lstStyle/>
    <a:p>
      <a:pPr>
        <a:defRPr sz="800" b="0" i="0" u="none" strike="noStrike" baseline="0">
          <a:solidFill>
            <a:srgbClr val="000000"/>
          </a:solidFill>
          <a:latin typeface="Myriad Pro"/>
          <a:ea typeface="Myriad Pro"/>
          <a:cs typeface="Myriad Pro"/>
        </a:defRPr>
      </a:pPr>
      <a:endParaRPr lang="en-US"/>
    </a:p>
  </c:txPr>
  <c:printSettings>
    <c:headerFooter/>
    <c:pageMargins b="1" l="0.75000000000000111" r="0.75000000000000111" t="1" header="0.5" footer="0.5"/>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750"/>
            </a:pPr>
            <a:r>
              <a:rPr lang="en-US" sz="750"/>
              <a:t>running</a:t>
            </a:r>
            <a:r>
              <a:rPr lang="en-US" sz="750" baseline="0"/>
              <a:t> s</a:t>
            </a:r>
            <a:r>
              <a:rPr lang="en-US" sz="750"/>
              <a:t>tandard deviation</a:t>
            </a:r>
          </a:p>
        </c:rich>
      </c:tx>
      <c:layout>
        <c:manualLayout>
          <c:xMode val="edge"/>
          <c:yMode val="edge"/>
          <c:x val="3.1062933276838106E-3"/>
          <c:y val="3.4966051778738908E-3"/>
        </c:manualLayout>
      </c:layout>
      <c:overlay val="0"/>
      <c:spPr>
        <a:noFill/>
        <a:ln w="25400">
          <a:noFill/>
        </a:ln>
      </c:spPr>
    </c:title>
    <c:autoTitleDeleted val="0"/>
    <c:plotArea>
      <c:layout>
        <c:manualLayout>
          <c:layoutTarget val="inner"/>
          <c:xMode val="edge"/>
          <c:yMode val="edge"/>
          <c:x val="0.19419619422572201"/>
          <c:y val="9.0909090909091064E-2"/>
          <c:w val="0.72842285339332713"/>
          <c:h val="0.6959933190169405"/>
        </c:manualLayout>
      </c:layout>
      <c:lineChart>
        <c:grouping val="standard"/>
        <c:varyColors val="0"/>
        <c:ser>
          <c:idx val="0"/>
          <c:order val="0"/>
          <c:tx>
            <c:strRef>
              <c:f>CALCS!$O$3:$O$4</c:f>
              <c:strCache>
                <c:ptCount val="2"/>
                <c:pt idx="0">
                  <c:v>RUNNING Standard Deviation</c:v>
                </c:pt>
                <c:pt idx="1">
                  <c:v>1XI_IXF</c:v>
                </c:pt>
              </c:strCache>
            </c:strRef>
          </c:tx>
          <c:spPr>
            <a:ln w="25400">
              <a:solidFill>
                <a:srgbClr val="B3B3B3"/>
              </a:solidFill>
            </a:ln>
          </c:spPr>
          <c:marker>
            <c:symbol val="none"/>
          </c:marker>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CALCS!$O$5:$O$54</c:f>
              <c:numCache>
                <c:formatCode>0%</c:formatCode>
                <c:ptCount val="50"/>
                <c:pt idx="1">
                  <c:v>1.7146428199482228E-3</c:v>
                </c:pt>
                <c:pt idx="2">
                  <c:v>1.8739263592788255E-2</c:v>
                </c:pt>
                <c:pt idx="3">
                  <c:v>2.4121981676470935E-2</c:v>
                </c:pt>
                <c:pt idx="4">
                  <c:v>2.830151939384172E-2</c:v>
                </c:pt>
                <c:pt idx="5">
                  <c:v>2.6864102441734389E-2</c:v>
                </c:pt>
                <c:pt idx="6">
                  <c:v>2.5191041491541607E-2</c:v>
                </c:pt>
                <c:pt idx="7">
                  <c:v>4.411180599988429E-2</c:v>
                </c:pt>
                <c:pt idx="8">
                  <c:v>4.8365104500386766E-2</c:v>
                </c:pt>
                <c:pt idx="9">
                  <c:v>7.086758544402838E-2</c:v>
                </c:pt>
                <c:pt idx="10">
                  <c:v>6.7496747396381312E-2</c:v>
                </c:pt>
                <c:pt idx="11">
                  <c:v>6.4430681567656287E-2</c:v>
                </c:pt>
                <c:pt idx="12">
                  <c:v>6.3925341068853336E-2</c:v>
                </c:pt>
                <c:pt idx="13">
                  <c:v>6.2638260259618037E-2</c:v>
                </c:pt>
                <c:pt idx="14">
                  <c:v>6.0429387363623459E-2</c:v>
                </c:pt>
                <c:pt idx="15">
                  <c:v>5.8674287383827656E-2</c:v>
                </c:pt>
                <c:pt idx="16">
                  <c:v>7.5756985700019389E-2</c:v>
                </c:pt>
                <c:pt idx="17">
                  <c:v>7.5192792729299351E-2</c:v>
                </c:pt>
                <c:pt idx="18">
                  <c:v>7.3324900631583395E-2</c:v>
                </c:pt>
                <c:pt idx="19">
                  <c:v>7.2128873698766638E-2</c:v>
                </c:pt>
                <c:pt idx="20">
                  <c:v>0.11368964772572741</c:v>
                </c:pt>
                <c:pt idx="21">
                  <c:v>0.11959993484774316</c:v>
                </c:pt>
                <c:pt idx="22">
                  <c:v>0.11700451394961212</c:v>
                </c:pt>
                <c:pt idx="23">
                  <c:v>0.11669570145952435</c:v>
                </c:pt>
                <c:pt idx="24">
                  <c:v>0.13314233286224181</c:v>
                </c:pt>
                <c:pt idx="25">
                  <c:v>0.13806622691804327</c:v>
                </c:pt>
                <c:pt idx="26">
                  <c:v>0.13712939176365538</c:v>
                </c:pt>
                <c:pt idx="27">
                  <c:v>0.17392042834821159</c:v>
                </c:pt>
                <c:pt idx="28">
                  <c:v>0.17309455857102082</c:v>
                </c:pt>
                <c:pt idx="29">
                  <c:v>0.17812893005948788</c:v>
                </c:pt>
                <c:pt idx="30">
                  <c:v>0.17547681769506507</c:v>
                </c:pt>
                <c:pt idx="31">
                  <c:v>0.17266548548865307</c:v>
                </c:pt>
                <c:pt idx="32">
                  <c:v>0.17092981215053796</c:v>
                </c:pt>
                <c:pt idx="33">
                  <c:v>0.16855434801657929</c:v>
                </c:pt>
                <c:pt idx="34">
                  <c:v>0.16681830985896509</c:v>
                </c:pt>
                <c:pt idx="35">
                  <c:v>0.16521121690271579</c:v>
                </c:pt>
                <c:pt idx="36">
                  <c:v>0.16295019965488713</c:v>
                </c:pt>
                <c:pt idx="37">
                  <c:v>0.16080109896441946</c:v>
                </c:pt>
                <c:pt idx="38">
                  <c:v>0.15885313717482388</c:v>
                </c:pt>
                <c:pt idx="39">
                  <c:v>0.15683835873035265</c:v>
                </c:pt>
                <c:pt idx="40">
                  <c:v>0.15495619790215778</c:v>
                </c:pt>
                <c:pt idx="41">
                  <c:v>0.15332945377104895</c:v>
                </c:pt>
                <c:pt idx="42">
                  <c:v>0.15149503681441845</c:v>
                </c:pt>
                <c:pt idx="43">
                  <c:v>0.15128999385621905</c:v>
                </c:pt>
                <c:pt idx="44">
                  <c:v>0.15020657573468413</c:v>
                </c:pt>
                <c:pt idx="45">
                  <c:v>0.14865798603369482</c:v>
                </c:pt>
                <c:pt idx="46">
                  <c:v>0.14869007980859891</c:v>
                </c:pt>
                <c:pt idx="47">
                  <c:v>0.14777754396389189</c:v>
                </c:pt>
                <c:pt idx="48">
                  <c:v>0.14655190206885754</c:v>
                </c:pt>
                <c:pt idx="49">
                  <c:v>0.14642041493659308</c:v>
                </c:pt>
              </c:numCache>
            </c:numRef>
          </c:val>
          <c:smooth val="0"/>
          <c:extLst>
            <c:ext xmlns:c16="http://schemas.microsoft.com/office/drawing/2014/chart" uri="{C3380CC4-5D6E-409C-BE32-E72D297353CC}">
              <c16:uniqueId val="{00000000-A4CD-40A5-9DAC-7E2F0686F96E}"/>
            </c:ext>
          </c:extLst>
        </c:ser>
        <c:ser>
          <c:idx val="1"/>
          <c:order val="1"/>
          <c:tx>
            <c:strRef>
              <c:f>CALCS!$P$3:$P$4</c:f>
              <c:strCache>
                <c:ptCount val="2"/>
                <c:pt idx="0">
                  <c:v>RUNNING Standard Deviation</c:v>
                </c:pt>
                <c:pt idx="1">
                  <c:v>2F6_ALG</c:v>
                </c:pt>
              </c:strCache>
            </c:strRef>
          </c:tx>
          <c:spPr>
            <a:ln w="31750">
              <a:solidFill>
                <a:srgbClr val="004080"/>
              </a:solidFill>
            </a:ln>
          </c:spPr>
          <c:marker>
            <c:symbol val="none"/>
          </c:marker>
          <c:cat>
            <c:numRef>
              <c:f>CALCS!$A$5:$A$54</c:f>
              <c:numCache>
                <c:formatCode>mmm\-yy</c:formatCode>
                <c:ptCount val="50"/>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numCache>
            </c:numRef>
          </c:cat>
          <c:val>
            <c:numRef>
              <c:f>CALCS!$P$5:$P$54</c:f>
              <c:numCache>
                <c:formatCode>0%</c:formatCode>
                <c:ptCount val="50"/>
                <c:pt idx="1">
                  <c:v>5.4623621264064878E-2</c:v>
                </c:pt>
                <c:pt idx="2">
                  <c:v>5.1922634755952074E-2</c:v>
                </c:pt>
                <c:pt idx="3">
                  <c:v>5.2864638464667484E-2</c:v>
                </c:pt>
                <c:pt idx="4">
                  <c:v>5.0189082478164518E-2</c:v>
                </c:pt>
                <c:pt idx="5">
                  <c:v>0.15320831570120466</c:v>
                </c:pt>
                <c:pt idx="6">
                  <c:v>0.15328623086053281</c:v>
                </c:pt>
                <c:pt idx="7">
                  <c:v>0.14891110483391473</c:v>
                </c:pt>
                <c:pt idx="8">
                  <c:v>0.14031354175559818</c:v>
                </c:pt>
                <c:pt idx="9">
                  <c:v>0.16818083917814977</c:v>
                </c:pt>
                <c:pt idx="10">
                  <c:v>0.17059715866758904</c:v>
                </c:pt>
                <c:pt idx="11">
                  <c:v>0.16445775086076611</c:v>
                </c:pt>
                <c:pt idx="12">
                  <c:v>0.15836595885188495</c:v>
                </c:pt>
                <c:pt idx="13">
                  <c:v>0.15261277869097406</c:v>
                </c:pt>
                <c:pt idx="14">
                  <c:v>0.14998157982137106</c:v>
                </c:pt>
                <c:pt idx="15">
                  <c:v>0.14878690634595507</c:v>
                </c:pt>
                <c:pt idx="16">
                  <c:v>0.14641177929950538</c:v>
                </c:pt>
                <c:pt idx="17">
                  <c:v>0.1449733836288038</c:v>
                </c:pt>
                <c:pt idx="18">
                  <c:v>0.14096317797162372</c:v>
                </c:pt>
                <c:pt idx="19">
                  <c:v>0.1408910833531386</c:v>
                </c:pt>
                <c:pt idx="20">
                  <c:v>0.14311768384295293</c:v>
                </c:pt>
                <c:pt idx="21">
                  <c:v>0.14249158097709019</c:v>
                </c:pt>
                <c:pt idx="22">
                  <c:v>0.14163947329490079</c:v>
                </c:pt>
                <c:pt idx="23">
                  <c:v>0.14008285436468135</c:v>
                </c:pt>
                <c:pt idx="24">
                  <c:v>0.14163396485306765</c:v>
                </c:pt>
                <c:pt idx="25">
                  <c:v>0.14147635540422132</c:v>
                </c:pt>
                <c:pt idx="26">
                  <c:v>0.14120136194592675</c:v>
                </c:pt>
                <c:pt idx="27">
                  <c:v>0.13982988474094749</c:v>
                </c:pt>
                <c:pt idx="28">
                  <c:v>0.13777221509154713</c:v>
                </c:pt>
                <c:pt idx="29">
                  <c:v>0.13553632723369774</c:v>
                </c:pt>
                <c:pt idx="30">
                  <c:v>0.13393251165202327</c:v>
                </c:pt>
                <c:pt idx="31">
                  <c:v>0.13328817010643734</c:v>
                </c:pt>
                <c:pt idx="32">
                  <c:v>0.13120061754982154</c:v>
                </c:pt>
                <c:pt idx="33">
                  <c:v>0.13004791054620277</c:v>
                </c:pt>
                <c:pt idx="34">
                  <c:v>0.13077422304018749</c:v>
                </c:pt>
                <c:pt idx="35">
                  <c:v>0.12907179360635654</c:v>
                </c:pt>
                <c:pt idx="36">
                  <c:v>0.1274056478304596</c:v>
                </c:pt>
                <c:pt idx="37">
                  <c:v>0.12768345583243887</c:v>
                </c:pt>
                <c:pt idx="38">
                  <c:v>0.12765409232550826</c:v>
                </c:pt>
                <c:pt idx="39">
                  <c:v>0.12764919204902642</c:v>
                </c:pt>
                <c:pt idx="40">
                  <c:v>0.12707257653528975</c:v>
                </c:pt>
                <c:pt idx="41">
                  <c:v>0.12570837137655685</c:v>
                </c:pt>
                <c:pt idx="42">
                  <c:v>0.12503224567475288</c:v>
                </c:pt>
                <c:pt idx="43">
                  <c:v>0.12637640545701867</c:v>
                </c:pt>
                <c:pt idx="44">
                  <c:v>0.12544456846581983</c:v>
                </c:pt>
                <c:pt idx="45">
                  <c:v>0.12950348369775647</c:v>
                </c:pt>
                <c:pt idx="46">
                  <c:v>0.12847558963587177</c:v>
                </c:pt>
                <c:pt idx="47">
                  <c:v>0.12912914119741903</c:v>
                </c:pt>
                <c:pt idx="48">
                  <c:v>0.12878906183748523</c:v>
                </c:pt>
                <c:pt idx="49">
                  <c:v>0.12770297188621507</c:v>
                </c:pt>
              </c:numCache>
            </c:numRef>
          </c:val>
          <c:smooth val="0"/>
          <c:extLst>
            <c:ext xmlns:c16="http://schemas.microsoft.com/office/drawing/2014/chart" uri="{C3380CC4-5D6E-409C-BE32-E72D297353CC}">
              <c16:uniqueId val="{00000001-A4CD-40A5-9DAC-7E2F0686F96E}"/>
            </c:ext>
          </c:extLst>
        </c:ser>
        <c:dLbls>
          <c:showLegendKey val="0"/>
          <c:showVal val="0"/>
          <c:showCatName val="0"/>
          <c:showSerName val="0"/>
          <c:showPercent val="0"/>
          <c:showBubbleSize val="0"/>
        </c:dLbls>
        <c:smooth val="0"/>
        <c:axId val="61685120"/>
        <c:axId val="61699200"/>
      </c:lineChart>
      <c:dateAx>
        <c:axId val="61685120"/>
        <c:scaling>
          <c:orientation val="minMax"/>
        </c:scaling>
        <c:delete val="0"/>
        <c:axPos val="b"/>
        <c:numFmt formatCode="mmm\-yy" sourceLinked="0"/>
        <c:majorTickMark val="none"/>
        <c:minorTickMark val="none"/>
        <c:tickLblPos val="nextTo"/>
        <c:txPr>
          <a:bodyPr rot="0" vert="horz"/>
          <a:lstStyle/>
          <a:p>
            <a:pPr>
              <a:defRPr sz="750" b="0" i="0" u="none" strike="noStrike" baseline="0">
                <a:solidFill>
                  <a:srgbClr val="000000"/>
                </a:solidFill>
                <a:latin typeface="Myriad Pro"/>
                <a:ea typeface="Myriad Pro"/>
                <a:cs typeface="Myriad Pro"/>
              </a:defRPr>
            </a:pPr>
            <a:endParaRPr lang="en-US"/>
          </a:p>
        </c:txPr>
        <c:crossAx val="61699200"/>
        <c:crosses val="autoZero"/>
        <c:auto val="1"/>
        <c:lblOffset val="100"/>
        <c:baseTimeUnit val="months"/>
      </c:dateAx>
      <c:valAx>
        <c:axId val="61699200"/>
        <c:scaling>
          <c:orientation val="minMax"/>
          <c:max val="0.19594182306543667"/>
          <c:min val="1.5431785379534004E-3"/>
        </c:scaling>
        <c:delete val="0"/>
        <c:axPos val="l"/>
        <c:majorGridlines>
          <c:spPr>
            <a:ln>
              <a:solidFill>
                <a:srgbClr val="B3B3B3"/>
              </a:solidFill>
            </a:ln>
          </c:spPr>
        </c:majorGridlines>
        <c:numFmt formatCode="0%" sourceLinked="0"/>
        <c:majorTickMark val="none"/>
        <c:minorTickMark val="none"/>
        <c:tickLblPos val="nextTo"/>
        <c:spPr>
          <a:ln>
            <a:noFill/>
          </a:ln>
        </c:spPr>
        <c:crossAx val="61685120"/>
        <c:crosses val="autoZero"/>
        <c:crossBetween val="between"/>
      </c:valAx>
    </c:plotArea>
    <c:plotVisOnly val="1"/>
    <c:dispBlanksAs val="gap"/>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750"/>
            </a:pPr>
            <a:r>
              <a:rPr lang="en-US" sz="750"/>
              <a:t>average</a:t>
            </a:r>
            <a:r>
              <a:rPr lang="en-US" sz="750" baseline="0"/>
              <a:t> monthly return</a:t>
            </a:r>
          </a:p>
        </c:rich>
      </c:tx>
      <c:layout>
        <c:manualLayout>
          <c:xMode val="edge"/>
          <c:yMode val="edge"/>
          <c:x val="6.6845761926818082E-3"/>
          <c:y val="1.0347769028871405E-3"/>
        </c:manualLayout>
      </c:layout>
      <c:overlay val="0"/>
      <c:spPr>
        <a:noFill/>
        <a:ln w="25400">
          <a:noFill/>
        </a:ln>
      </c:spPr>
    </c:title>
    <c:autoTitleDeleted val="0"/>
    <c:plotArea>
      <c:layout>
        <c:manualLayout>
          <c:layoutTarget val="inner"/>
          <c:xMode val="edge"/>
          <c:yMode val="edge"/>
          <c:x val="0.2"/>
          <c:y val="0.15527950310559024"/>
          <c:w val="0.72352941176470664"/>
          <c:h val="0.77018633540372705"/>
        </c:manualLayout>
      </c:layout>
      <c:barChart>
        <c:barDir val="col"/>
        <c:grouping val="clustered"/>
        <c:varyColors val="0"/>
        <c:ser>
          <c:idx val="3"/>
          <c:order val="0"/>
          <c:tx>
            <c:strRef>
              <c:f>C_UpM!$C$3</c:f>
              <c:strCache>
                <c:ptCount val="1"/>
                <c:pt idx="0">
                  <c:v>2F6_ALG</c:v>
                </c:pt>
              </c:strCache>
            </c:strRef>
          </c:tx>
          <c:spPr>
            <a:solidFill>
              <a:srgbClr val="004080"/>
            </a:solidFill>
            <a:effectLst/>
          </c:spPr>
          <c:invertIfNegative val="0"/>
          <c:val>
            <c:numRef>
              <c:f>Reprt_2!$C$21</c:f>
              <c:numCache>
                <c:formatCode>0%</c:formatCode>
                <c:ptCount val="1"/>
                <c:pt idx="0">
                  <c:v>4.3813999999999992E-2</c:v>
                </c:pt>
              </c:numCache>
            </c:numRef>
          </c:val>
          <c:extLst>
            <c:ext xmlns:c16="http://schemas.microsoft.com/office/drawing/2014/chart" uri="{C3380CC4-5D6E-409C-BE32-E72D297353CC}">
              <c16:uniqueId val="{00000000-2AA2-4336-A6CA-DC4C009B95C6}"/>
            </c:ext>
          </c:extLst>
        </c:ser>
        <c:ser>
          <c:idx val="2"/>
          <c:order val="1"/>
          <c:tx>
            <c:strRef>
              <c:f>C_UpM!$B$3</c:f>
              <c:strCache>
                <c:ptCount val="1"/>
                <c:pt idx="0">
                  <c:v>1XI_IXF</c:v>
                </c:pt>
              </c:strCache>
            </c:strRef>
          </c:tx>
          <c:spPr>
            <a:solidFill>
              <a:srgbClr val="B3B3B3"/>
            </a:solidFill>
            <a:effectLst/>
          </c:spPr>
          <c:invertIfNegative val="0"/>
          <c:val>
            <c:numRef>
              <c:f>Reprt_2!$B$21</c:f>
              <c:numCache>
                <c:formatCode>0%</c:formatCode>
                <c:ptCount val="1"/>
                <c:pt idx="0">
                  <c:v>4.8197999999999998E-2</c:v>
                </c:pt>
              </c:numCache>
            </c:numRef>
          </c:val>
          <c:extLst>
            <c:ext xmlns:c16="http://schemas.microsoft.com/office/drawing/2014/chart" uri="{C3380CC4-5D6E-409C-BE32-E72D297353CC}">
              <c16:uniqueId val="{00000001-2AA2-4336-A6CA-DC4C009B95C6}"/>
            </c:ext>
          </c:extLst>
        </c:ser>
        <c:ser>
          <c:idx val="1"/>
          <c:order val="2"/>
          <c:tx>
            <c:strRef>
              <c:f>C_DownM!$C$3</c:f>
              <c:strCache>
                <c:ptCount val="1"/>
                <c:pt idx="0">
                  <c:v>2F6_ALG</c:v>
                </c:pt>
              </c:strCache>
            </c:strRef>
          </c:tx>
          <c:spPr>
            <a:solidFill>
              <a:srgbClr val="004080"/>
            </a:solidFill>
            <a:effectLst/>
          </c:spPr>
          <c:invertIfNegative val="0"/>
          <c:val>
            <c:numRef>
              <c:f>Reprt_2!$C$22</c:f>
              <c:numCache>
                <c:formatCode>0%</c:formatCode>
                <c:ptCount val="1"/>
                <c:pt idx="0">
                  <c:v>0</c:v>
                </c:pt>
              </c:numCache>
            </c:numRef>
          </c:val>
          <c:extLst>
            <c:ext xmlns:c16="http://schemas.microsoft.com/office/drawing/2014/chart" uri="{C3380CC4-5D6E-409C-BE32-E72D297353CC}">
              <c16:uniqueId val="{00000002-2AA2-4336-A6CA-DC4C009B95C6}"/>
            </c:ext>
          </c:extLst>
        </c:ser>
        <c:ser>
          <c:idx val="0"/>
          <c:order val="3"/>
          <c:tx>
            <c:strRef>
              <c:f>C_DownM!$B$3</c:f>
              <c:strCache>
                <c:ptCount val="1"/>
                <c:pt idx="0">
                  <c:v>1XI_IXF</c:v>
                </c:pt>
              </c:strCache>
            </c:strRef>
          </c:tx>
          <c:spPr>
            <a:solidFill>
              <a:srgbClr val="B3B3B3"/>
            </a:solidFill>
            <a:effectLst/>
          </c:spPr>
          <c:invertIfNegative val="0"/>
          <c:val>
            <c:numRef>
              <c:f>Reprt_2!$B$22</c:f>
              <c:numCache>
                <c:formatCode>0%</c:formatCode>
                <c:ptCount val="1"/>
                <c:pt idx="0">
                  <c:v>0</c:v>
                </c:pt>
              </c:numCache>
            </c:numRef>
          </c:val>
          <c:extLst>
            <c:ext xmlns:c16="http://schemas.microsoft.com/office/drawing/2014/chart" uri="{C3380CC4-5D6E-409C-BE32-E72D297353CC}">
              <c16:uniqueId val="{00000003-2AA2-4336-A6CA-DC4C009B95C6}"/>
            </c:ext>
          </c:extLst>
        </c:ser>
        <c:dLbls>
          <c:showLegendKey val="0"/>
          <c:showVal val="0"/>
          <c:showCatName val="0"/>
          <c:showSerName val="0"/>
          <c:showPercent val="0"/>
          <c:showBubbleSize val="0"/>
        </c:dLbls>
        <c:gapWidth val="150"/>
        <c:axId val="61737600"/>
        <c:axId val="61747584"/>
      </c:barChart>
      <c:catAx>
        <c:axId val="61737600"/>
        <c:scaling>
          <c:orientation val="minMax"/>
        </c:scaling>
        <c:delete val="1"/>
        <c:axPos val="b"/>
        <c:majorTickMark val="out"/>
        <c:minorTickMark val="none"/>
        <c:tickLblPos val="nextTo"/>
        <c:crossAx val="61747584"/>
        <c:crosses val="autoZero"/>
        <c:auto val="1"/>
        <c:lblAlgn val="ctr"/>
        <c:lblOffset val="100"/>
        <c:noMultiLvlLbl val="0"/>
      </c:catAx>
      <c:valAx>
        <c:axId val="61747584"/>
        <c:scaling>
          <c:orientation val="minMax"/>
          <c:max val="5.7185806451612919E-2"/>
          <c:min val="-5.6439999999999997E-2"/>
        </c:scaling>
        <c:delete val="0"/>
        <c:axPos val="l"/>
        <c:majorGridlines>
          <c:spPr>
            <a:ln w="9525">
              <a:solidFill>
                <a:srgbClr val="B3B3B3"/>
              </a:solidFill>
            </a:ln>
          </c:spPr>
        </c:majorGridlines>
        <c:numFmt formatCode="0%" sourceLinked="1"/>
        <c:majorTickMark val="none"/>
        <c:minorTickMark val="none"/>
        <c:tickLblPos val="nextTo"/>
        <c:spPr>
          <a:ln>
            <a:noFill/>
          </a:ln>
        </c:spPr>
        <c:crossAx val="61737600"/>
        <c:crosses val="autoZero"/>
        <c:crossBetween val="between"/>
      </c:valAx>
    </c:plotArea>
    <c:plotVisOnly val="1"/>
    <c:dispBlanksAs val="gap"/>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750"/>
            </a:pPr>
            <a:r>
              <a:rPr lang="en-US" sz="750"/>
              <a:t>correlation of returns</a:t>
            </a:r>
          </a:p>
        </c:rich>
      </c:tx>
      <c:layout>
        <c:manualLayout>
          <c:xMode val="edge"/>
          <c:yMode val="edge"/>
          <c:x val="5.0090124276634188E-3"/>
          <c:y val="7.5112039566482824E-3"/>
        </c:manualLayout>
      </c:layout>
      <c:overlay val="0"/>
      <c:spPr>
        <a:noFill/>
        <a:ln w="25400">
          <a:noFill/>
        </a:ln>
      </c:spPr>
    </c:title>
    <c:autoTitleDeleted val="0"/>
    <c:plotArea>
      <c:layout>
        <c:manualLayout>
          <c:layoutTarget val="inner"/>
          <c:xMode val="edge"/>
          <c:yMode val="edge"/>
          <c:x val="0.18674753726096943"/>
          <c:y val="0.11643835616438387"/>
          <c:w val="0.70482135030753112"/>
          <c:h val="0.73287671232876839"/>
        </c:manualLayout>
      </c:layout>
      <c:scatterChart>
        <c:scatterStyle val="lineMarker"/>
        <c:varyColors val="0"/>
        <c:ser>
          <c:idx val="0"/>
          <c:order val="0"/>
          <c:spPr>
            <a:ln w="47625">
              <a:noFill/>
            </a:ln>
          </c:spPr>
          <c:marker>
            <c:symbol val="diamond"/>
            <c:size val="3"/>
            <c:spPr>
              <a:solidFill>
                <a:srgbClr val="004080"/>
              </a:solidFill>
              <a:ln>
                <a:solidFill>
                  <a:srgbClr val="004080"/>
                </a:solidFill>
              </a:ln>
            </c:spPr>
          </c:marker>
          <c:trendline>
            <c:spPr>
              <a:ln>
                <a:solidFill>
                  <a:srgbClr val="80FF00"/>
                </a:solidFill>
              </a:ln>
            </c:spPr>
            <c:trendlineType val="linear"/>
            <c:dispRSqr val="1"/>
            <c:dispEq val="0"/>
            <c:trendlineLbl>
              <c:layout>
                <c:manualLayout>
                  <c:x val="0.30548409448818908"/>
                  <c:y val="-0.3284417737256542"/>
                </c:manualLayout>
              </c:layout>
              <c:numFmt formatCode="General" sourceLinked="0"/>
              <c:spPr>
                <a:noFill/>
                <a:ln w="25400">
                  <a:noFill/>
                </a:ln>
              </c:spPr>
            </c:trendlineLbl>
          </c:trendline>
          <c:xVal>
            <c:numRef>
              <c:f>CALCS!$B$5:$B$121</c:f>
              <c:numCache>
                <c:formatCode>0%</c:formatCode>
                <c:ptCount val="117"/>
                <c:pt idx="0">
                  <c:v>8.6E-3</c:v>
                </c:pt>
                <c:pt idx="1">
                  <c:v>7.9000000000000008E-3</c:v>
                </c:pt>
                <c:pt idx="2">
                  <c:v>1.7600000000000001E-2</c:v>
                </c:pt>
                <c:pt idx="3">
                  <c:v>5.9999999999999995E-4</c:v>
                </c:pt>
                <c:pt idx="4">
                  <c:v>2.1000000000000001E-2</c:v>
                </c:pt>
                <c:pt idx="5">
                  <c:v>1.7500000000000002E-2</c:v>
                </c:pt>
                <c:pt idx="6">
                  <c:v>1.66E-2</c:v>
                </c:pt>
                <c:pt idx="7">
                  <c:v>4.3400000000000001E-2</c:v>
                </c:pt>
                <c:pt idx="8">
                  <c:v>3.85E-2</c:v>
                </c:pt>
                <c:pt idx="9">
                  <c:v>6.8599999999999994E-2</c:v>
                </c:pt>
                <c:pt idx="10">
                  <c:v>1.83E-2</c:v>
                </c:pt>
                <c:pt idx="11">
                  <c:v>2.0400000000000001E-2</c:v>
                </c:pt>
                <c:pt idx="12">
                  <c:v>5.7999999999999996E-3</c:v>
                </c:pt>
                <c:pt idx="13">
                  <c:v>3.5200000000000002E-2</c:v>
                </c:pt>
                <c:pt idx="14">
                  <c:v>2.6100000000000002E-2</c:v>
                </c:pt>
                <c:pt idx="15">
                  <c:v>1.6299999999999999E-2</c:v>
                </c:pt>
                <c:pt idx="16">
                  <c:v>8.2299999999999998E-2</c:v>
                </c:pt>
                <c:pt idx="17">
                  <c:v>6.7000000000000002E-3</c:v>
                </c:pt>
                <c:pt idx="18">
                  <c:v>3.27E-2</c:v>
                </c:pt>
                <c:pt idx="19">
                  <c:v>1.2E-2</c:v>
                </c:pt>
                <c:pt idx="20">
                  <c:v>0.14299999999999999</c:v>
                </c:pt>
                <c:pt idx="21">
                  <c:v>9.0899999999999995E-2</c:v>
                </c:pt>
                <c:pt idx="22">
                  <c:v>4.1500000000000002E-2</c:v>
                </c:pt>
                <c:pt idx="23">
                  <c:v>1.1999999999999999E-3</c:v>
                </c:pt>
                <c:pt idx="24">
                  <c:v>0.13089999999999999</c:v>
                </c:pt>
                <c:pt idx="25">
                  <c:v>0.1027</c:v>
                </c:pt>
                <c:pt idx="26">
                  <c:v>6.0000000000000001E-3</c:v>
                </c:pt>
                <c:pt idx="27">
                  <c:v>0.20580000000000001</c:v>
                </c:pt>
                <c:pt idx="28">
                  <c:v>8.7300000000000003E-2</c:v>
                </c:pt>
                <c:pt idx="29">
                  <c:v>0.12870000000000001</c:v>
                </c:pt>
                <c:pt idx="30">
                  <c:v>6.54E-2</c:v>
                </c:pt>
                <c:pt idx="31">
                  <c:v>5.4600000000000003E-2</c:v>
                </c:pt>
                <c:pt idx="32">
                  <c:v>1.8200000000000001E-2</c:v>
                </c:pt>
                <c:pt idx="33">
                  <c:v>6.2600000000000003E-2</c:v>
                </c:pt>
                <c:pt idx="34">
                  <c:v>2.0899999999999998E-2</c:v>
                </c:pt>
                <c:pt idx="35">
                  <c:v>1.9300000000000001E-2</c:v>
                </c:pt>
                <c:pt idx="36">
                  <c:v>5.3600000000000002E-2</c:v>
                </c:pt>
                <c:pt idx="37">
                  <c:v>3.8399999999999997E-2</c:v>
                </c:pt>
                <c:pt idx="38">
                  <c:v>3.2800000000000003E-2</c:v>
                </c:pt>
                <c:pt idx="39">
                  <c:v>4.0099999999999997E-2</c:v>
                </c:pt>
                <c:pt idx="40">
                  <c:v>5.5800000000000002E-2</c:v>
                </c:pt>
                <c:pt idx="41">
                  <c:v>6.3399999999999998E-2</c:v>
                </c:pt>
                <c:pt idx="42">
                  <c:v>4.5199999999999997E-2</c:v>
                </c:pt>
                <c:pt idx="43">
                  <c:v>8.8200000000000001E-2</c:v>
                </c:pt>
                <c:pt idx="44">
                  <c:v>7.4499999999999997E-2</c:v>
                </c:pt>
                <c:pt idx="45">
                  <c:v>3.5999999999999997E-2</c:v>
                </c:pt>
                <c:pt idx="46">
                  <c:v>9.1700000000000004E-2</c:v>
                </c:pt>
                <c:pt idx="47">
                  <c:v>7.7100000000000002E-2</c:v>
                </c:pt>
                <c:pt idx="48">
                  <c:v>2.98E-2</c:v>
                </c:pt>
                <c:pt idx="49">
                  <c:v>8.2000000000000007E-3</c:v>
                </c:pt>
              </c:numCache>
            </c:numRef>
          </c:xVal>
          <c:yVal>
            <c:numRef>
              <c:f>CALCS!$C$5:$C$121</c:f>
              <c:numCache>
                <c:formatCode>0%</c:formatCode>
                <c:ptCount val="117"/>
                <c:pt idx="0">
                  <c:v>4.4999999999999997E-3</c:v>
                </c:pt>
                <c:pt idx="1">
                  <c:v>2.6800000000000001E-2</c:v>
                </c:pt>
                <c:pt idx="2">
                  <c:v>3.3000000000000002E-2</c:v>
                </c:pt>
                <c:pt idx="3">
                  <c:v>3.2000000000000002E-3</c:v>
                </c:pt>
                <c:pt idx="4">
                  <c:v>3.5999999999999999E-3</c:v>
                </c:pt>
                <c:pt idx="5">
                  <c:v>0.1178</c:v>
                </c:pt>
                <c:pt idx="6">
                  <c:v>7.9399999999999998E-2</c:v>
                </c:pt>
                <c:pt idx="7">
                  <c:v>1.5E-3</c:v>
                </c:pt>
                <c:pt idx="8">
                  <c:v>1.9099999999999999E-2</c:v>
                </c:pt>
                <c:pt idx="9">
                  <c:v>0.12690000000000001</c:v>
                </c:pt>
                <c:pt idx="10">
                  <c:v>9.9400000000000002E-2</c:v>
                </c:pt>
                <c:pt idx="11">
                  <c:v>7.1099999999999997E-2</c:v>
                </c:pt>
                <c:pt idx="12">
                  <c:v>6.6500000000000004E-2</c:v>
                </c:pt>
                <c:pt idx="13">
                  <c:v>6.3E-2</c:v>
                </c:pt>
                <c:pt idx="14">
                  <c:v>1.8200000000000001E-2</c:v>
                </c:pt>
                <c:pt idx="15">
                  <c:v>9.9000000000000008E-3</c:v>
                </c:pt>
                <c:pt idx="16">
                  <c:v>1.54E-2</c:v>
                </c:pt>
                <c:pt idx="17">
                  <c:v>8.0199999999999994E-2</c:v>
                </c:pt>
                <c:pt idx="18">
                  <c:v>5.2400000000000002E-2</c:v>
                </c:pt>
                <c:pt idx="19">
                  <c:v>5.5999999999999999E-3</c:v>
                </c:pt>
                <c:pt idx="20">
                  <c:v>9.8199999999999996E-2</c:v>
                </c:pt>
                <c:pt idx="21">
                  <c:v>9.1999999999999998E-3</c:v>
                </c:pt>
                <c:pt idx="22">
                  <c:v>8.1799999999999998E-2</c:v>
                </c:pt>
                <c:pt idx="23">
                  <c:v>7.6700000000000004E-2</c:v>
                </c:pt>
                <c:pt idx="24">
                  <c:v>9.9599999999999994E-2</c:v>
                </c:pt>
                <c:pt idx="25">
                  <c:v>0.01</c:v>
                </c:pt>
                <c:pt idx="26">
                  <c:v>9.4999999999999998E-3</c:v>
                </c:pt>
                <c:pt idx="27">
                  <c:v>7.6200000000000004E-2</c:v>
                </c:pt>
                <c:pt idx="28">
                  <c:v>3.1E-2</c:v>
                </c:pt>
                <c:pt idx="29">
                  <c:v>3.7499999999999999E-2</c:v>
                </c:pt>
                <c:pt idx="30">
                  <c:v>2.5999999999999999E-2</c:v>
                </c:pt>
                <c:pt idx="31">
                  <c:v>7.9799999999999996E-2</c:v>
                </c:pt>
                <c:pt idx="32">
                  <c:v>5.0799999999999998E-2</c:v>
                </c:pt>
                <c:pt idx="33">
                  <c:v>2.3E-2</c:v>
                </c:pt>
                <c:pt idx="34">
                  <c:v>2.5000000000000001E-3</c:v>
                </c:pt>
                <c:pt idx="35">
                  <c:v>3.4200000000000001E-2</c:v>
                </c:pt>
                <c:pt idx="36">
                  <c:v>3.5200000000000002E-2</c:v>
                </c:pt>
                <c:pt idx="37">
                  <c:v>5.1999999999999998E-3</c:v>
                </c:pt>
                <c:pt idx="38">
                  <c:v>7.3000000000000001E-3</c:v>
                </c:pt>
                <c:pt idx="39">
                  <c:v>6.1000000000000004E-3</c:v>
                </c:pt>
                <c:pt idx="40">
                  <c:v>1.26E-2</c:v>
                </c:pt>
                <c:pt idx="41">
                  <c:v>5.4800000000000001E-2</c:v>
                </c:pt>
                <c:pt idx="42">
                  <c:v>1.4800000000000001E-2</c:v>
                </c:pt>
                <c:pt idx="43">
                  <c:v>9.2100000000000001E-2</c:v>
                </c:pt>
                <c:pt idx="44">
                  <c:v>2.06E-2</c:v>
                </c:pt>
                <c:pt idx="45">
                  <c:v>0.1149</c:v>
                </c:pt>
                <c:pt idx="46">
                  <c:v>2.3900000000000001E-2</c:v>
                </c:pt>
                <c:pt idx="47">
                  <c:v>8.8800000000000004E-2</c:v>
                </c:pt>
                <c:pt idx="48">
                  <c:v>1.1599999999999999E-2</c:v>
                </c:pt>
                <c:pt idx="49">
                  <c:v>5.9299999999999999E-2</c:v>
                </c:pt>
              </c:numCache>
            </c:numRef>
          </c:yVal>
          <c:smooth val="0"/>
          <c:extLst>
            <c:ext xmlns:c16="http://schemas.microsoft.com/office/drawing/2014/chart" uri="{C3380CC4-5D6E-409C-BE32-E72D297353CC}">
              <c16:uniqueId val="{00000000-DBF5-4173-A35B-9C169EA1FD38}"/>
            </c:ext>
          </c:extLst>
        </c:ser>
        <c:dLbls>
          <c:showLegendKey val="0"/>
          <c:showVal val="0"/>
          <c:showCatName val="0"/>
          <c:showSerName val="0"/>
          <c:showPercent val="0"/>
          <c:showBubbleSize val="0"/>
        </c:dLbls>
        <c:axId val="61784448"/>
        <c:axId val="61785984"/>
      </c:scatterChart>
      <c:valAx>
        <c:axId val="61784448"/>
        <c:scaling>
          <c:orientation val="minMax"/>
        </c:scaling>
        <c:delete val="0"/>
        <c:axPos val="b"/>
        <c:numFmt formatCode="0%" sourceLinked="1"/>
        <c:majorTickMark val="none"/>
        <c:minorTickMark val="none"/>
        <c:tickLblPos val="low"/>
        <c:txPr>
          <a:bodyPr rot="0" vert="horz"/>
          <a:lstStyle/>
          <a:p>
            <a:pPr>
              <a:defRPr sz="750" b="0" i="0" u="none" strike="noStrike" baseline="0">
                <a:solidFill>
                  <a:srgbClr val="000000"/>
                </a:solidFill>
                <a:latin typeface="Myriad Pro"/>
                <a:ea typeface="Myriad Pro"/>
                <a:cs typeface="Myriad Pro"/>
              </a:defRPr>
            </a:pPr>
            <a:endParaRPr lang="en-US"/>
          </a:p>
        </c:txPr>
        <c:crossAx val="61785984"/>
        <c:crosses val="autoZero"/>
        <c:crossBetween val="midCat"/>
      </c:valAx>
      <c:valAx>
        <c:axId val="61785984"/>
        <c:scaling>
          <c:orientation val="minMax"/>
          <c:max val="0.14124"/>
          <c:min val="-0.15631"/>
        </c:scaling>
        <c:delete val="0"/>
        <c:axPos val="l"/>
        <c:majorGridlines>
          <c:spPr>
            <a:ln w="6350">
              <a:solidFill>
                <a:srgbClr val="B3B3B3"/>
              </a:solidFill>
            </a:ln>
          </c:spPr>
        </c:majorGridlines>
        <c:numFmt formatCode="0%" sourceLinked="1"/>
        <c:majorTickMark val="none"/>
        <c:minorTickMark val="none"/>
        <c:tickLblPos val="low"/>
        <c:crossAx val="61784448"/>
        <c:crosses val="autoZero"/>
        <c:crossBetween val="midCat"/>
      </c:valAx>
      <c:spPr>
        <a:noFill/>
        <a:ln w="6350" cap="flat" cmpd="sng">
          <a:solidFill>
            <a:srgbClr val="B3B3B3"/>
          </a:solidFill>
          <a:bevel/>
        </a:ln>
      </c:spPr>
    </c:plotArea>
    <c:plotVisOnly val="1"/>
    <c:dispBlanksAs val="gap"/>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sz="750"/>
              <a:t>distribution</a:t>
            </a:r>
            <a:r>
              <a:rPr lang="en-US" sz="750" baseline="0"/>
              <a:t> of returns</a:t>
            </a:r>
            <a:endParaRPr lang="en-US" sz="750"/>
          </a:p>
        </c:rich>
      </c:tx>
      <c:layout>
        <c:manualLayout>
          <c:xMode val="edge"/>
          <c:yMode val="edge"/>
          <c:x val="7.27209098862643E-3"/>
          <c:y val="6.0961458765022795E-3"/>
        </c:manualLayout>
      </c:layout>
      <c:overlay val="0"/>
      <c:spPr>
        <a:noFill/>
        <a:ln w="25400">
          <a:noFill/>
        </a:ln>
      </c:spPr>
    </c:title>
    <c:autoTitleDeleted val="0"/>
    <c:plotArea>
      <c:layout>
        <c:manualLayout>
          <c:layoutTarget val="inner"/>
          <c:xMode val="edge"/>
          <c:yMode val="edge"/>
          <c:x val="0.121212838617653"/>
          <c:y val="0.13815789473684201"/>
          <c:w val="0.82424730260003964"/>
          <c:h val="0.67105263157894812"/>
        </c:manualLayout>
      </c:layout>
      <c:barChart>
        <c:barDir val="col"/>
        <c:grouping val="clustered"/>
        <c:varyColors val="0"/>
        <c:ser>
          <c:idx val="0"/>
          <c:order val="0"/>
          <c:tx>
            <c:strRef>
              <c:f>C_Returns!$C$1</c:f>
              <c:strCache>
                <c:ptCount val="1"/>
                <c:pt idx="0">
                  <c:v>2F6_ALG</c:v>
                </c:pt>
              </c:strCache>
            </c:strRef>
          </c:tx>
          <c:spPr>
            <a:solidFill>
              <a:srgbClr val="004080"/>
            </a:solidFill>
            <a:ln w="25400">
              <a:noFill/>
            </a:ln>
          </c:spPr>
          <c:invertIfNegative val="0"/>
          <c:cat>
            <c:numRef>
              <c:f>C_Returns!$A$2:$A$20</c:f>
              <c:numCache>
                <c:formatCode>0%</c:formatCode>
                <c:ptCount val="19"/>
                <c:pt idx="0">
                  <c:v>-0.2</c:v>
                </c:pt>
                <c:pt idx="1">
                  <c:v>-0.18</c:v>
                </c:pt>
                <c:pt idx="2">
                  <c:v>-0.16</c:v>
                </c:pt>
                <c:pt idx="3">
                  <c:v>-0.14000000000000001</c:v>
                </c:pt>
                <c:pt idx="4">
                  <c:v>-0.12</c:v>
                </c:pt>
                <c:pt idx="5">
                  <c:v>-0.1</c:v>
                </c:pt>
                <c:pt idx="6">
                  <c:v>-0.08</c:v>
                </c:pt>
                <c:pt idx="7">
                  <c:v>-0.06</c:v>
                </c:pt>
                <c:pt idx="8">
                  <c:v>-0.04</c:v>
                </c:pt>
                <c:pt idx="9">
                  <c:v>-0.02</c:v>
                </c:pt>
                <c:pt idx="10">
                  <c:v>0</c:v>
                </c:pt>
                <c:pt idx="11">
                  <c:v>0.02</c:v>
                </c:pt>
                <c:pt idx="12">
                  <c:v>0.04</c:v>
                </c:pt>
                <c:pt idx="13">
                  <c:v>0.06</c:v>
                </c:pt>
                <c:pt idx="14">
                  <c:v>0.08</c:v>
                </c:pt>
                <c:pt idx="15">
                  <c:v>0.1</c:v>
                </c:pt>
                <c:pt idx="16">
                  <c:v>0.12</c:v>
                </c:pt>
                <c:pt idx="17">
                  <c:v>0.14000000000000001</c:v>
                </c:pt>
                <c:pt idx="18">
                  <c:v>0.16</c:v>
                </c:pt>
              </c:numCache>
            </c:numRef>
          </c:cat>
          <c:val>
            <c:numRef>
              <c:f>C_Returns!$C$2:$C$20</c:f>
              <c:numCache>
                <c:formatCode>0</c:formatCode>
                <c:ptCount val="19"/>
                <c:pt idx="0">
                  <c:v>0</c:v>
                </c:pt>
                <c:pt idx="1">
                  <c:v>0</c:v>
                </c:pt>
                <c:pt idx="2">
                  <c:v>0</c:v>
                </c:pt>
                <c:pt idx="3">
                  <c:v>0</c:v>
                </c:pt>
                <c:pt idx="4">
                  <c:v>0</c:v>
                </c:pt>
                <c:pt idx="5">
                  <c:v>0</c:v>
                </c:pt>
                <c:pt idx="6">
                  <c:v>0</c:v>
                </c:pt>
                <c:pt idx="7">
                  <c:v>0</c:v>
                </c:pt>
                <c:pt idx="8">
                  <c:v>0</c:v>
                </c:pt>
                <c:pt idx="9">
                  <c:v>0</c:v>
                </c:pt>
                <c:pt idx="10">
                  <c:v>0</c:v>
                </c:pt>
                <c:pt idx="11">
                  <c:v>19</c:v>
                </c:pt>
                <c:pt idx="12">
                  <c:v>10</c:v>
                </c:pt>
                <c:pt idx="13">
                  <c:v>4</c:v>
                </c:pt>
                <c:pt idx="14">
                  <c:v>7</c:v>
                </c:pt>
                <c:pt idx="15">
                  <c:v>7</c:v>
                </c:pt>
                <c:pt idx="16">
                  <c:v>2</c:v>
                </c:pt>
                <c:pt idx="17">
                  <c:v>1</c:v>
                </c:pt>
                <c:pt idx="18">
                  <c:v>0</c:v>
                </c:pt>
              </c:numCache>
            </c:numRef>
          </c:val>
          <c:extLst>
            <c:ext xmlns:c16="http://schemas.microsoft.com/office/drawing/2014/chart" uri="{C3380CC4-5D6E-409C-BE32-E72D297353CC}">
              <c16:uniqueId val="{00000000-6337-48A4-8492-B0BDEB1D1767}"/>
            </c:ext>
          </c:extLst>
        </c:ser>
        <c:dLbls>
          <c:showLegendKey val="0"/>
          <c:showVal val="0"/>
          <c:showCatName val="0"/>
          <c:showSerName val="0"/>
          <c:showPercent val="0"/>
          <c:showBubbleSize val="0"/>
        </c:dLbls>
        <c:gapWidth val="0"/>
        <c:axId val="61817984"/>
        <c:axId val="61819520"/>
      </c:barChart>
      <c:catAx>
        <c:axId val="61817984"/>
        <c:scaling>
          <c:orientation val="minMax"/>
        </c:scaling>
        <c:delete val="0"/>
        <c:axPos val="b"/>
        <c:numFmt formatCode="0%" sourceLinked="1"/>
        <c:majorTickMark val="none"/>
        <c:minorTickMark val="none"/>
        <c:tickLblPos val="nextTo"/>
        <c:crossAx val="61819520"/>
        <c:crosses val="autoZero"/>
        <c:auto val="1"/>
        <c:lblAlgn val="ctr"/>
        <c:lblOffset val="100"/>
        <c:tickLblSkip val="2"/>
        <c:noMultiLvlLbl val="0"/>
      </c:catAx>
      <c:valAx>
        <c:axId val="61819520"/>
        <c:scaling>
          <c:orientation val="minMax"/>
          <c:max val="28.6"/>
          <c:min val="0"/>
        </c:scaling>
        <c:delete val="0"/>
        <c:axPos val="l"/>
        <c:majorGridlines>
          <c:spPr>
            <a:ln>
              <a:solidFill>
                <a:srgbClr val="B3B3B3"/>
              </a:solidFill>
            </a:ln>
          </c:spPr>
        </c:majorGridlines>
        <c:numFmt formatCode="0" sourceLinked="1"/>
        <c:majorTickMark val="none"/>
        <c:minorTickMark val="none"/>
        <c:tickLblPos val="nextTo"/>
        <c:spPr>
          <a:ln>
            <a:noFill/>
          </a:ln>
        </c:spPr>
        <c:crossAx val="61817984"/>
        <c:crosses val="autoZero"/>
        <c:crossBetween val="between"/>
      </c:valAx>
    </c:plotArea>
    <c:plotVisOnly val="1"/>
    <c:dispBlanksAs val="zero"/>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800" b="0" i="0" u="none" strike="noStrike" baseline="0">
                <a:solidFill>
                  <a:srgbClr val="000000"/>
                </a:solidFill>
                <a:latin typeface="Myriad Pro"/>
                <a:ea typeface="Myriad Pro"/>
                <a:cs typeface="Myriad Pro"/>
              </a:defRPr>
            </a:pPr>
            <a:r>
              <a:rPr lang="en-US"/>
              <a:t>un-levered return vs. actual return</a:t>
            </a:r>
          </a:p>
        </c:rich>
      </c:tx>
      <c:layout>
        <c:manualLayout>
          <c:xMode val="edge"/>
          <c:yMode val="edge"/>
          <c:x val="5.465938379324211E-3"/>
          <c:y val="4.5709260961669116E-3"/>
        </c:manualLayout>
      </c:layout>
      <c:overlay val="0"/>
      <c:spPr>
        <a:noFill/>
        <a:ln w="25400">
          <a:noFill/>
        </a:ln>
      </c:spPr>
    </c:title>
    <c:autoTitleDeleted val="0"/>
    <c:plotArea>
      <c:layout>
        <c:manualLayout>
          <c:layoutTarget val="inner"/>
          <c:xMode val="edge"/>
          <c:yMode val="edge"/>
          <c:x val="0.20248514988258037"/>
          <c:y val="0.103635965501365"/>
          <c:w val="0.72149145830455663"/>
          <c:h val="0.68605625286456562"/>
        </c:manualLayout>
      </c:layout>
      <c:lineChart>
        <c:grouping val="standard"/>
        <c:varyColors val="0"/>
        <c:ser>
          <c:idx val="0"/>
          <c:order val="0"/>
          <c:tx>
            <c:v>"un-levered"</c:v>
          </c:tx>
          <c:spPr>
            <a:ln w="25400">
              <a:solidFill>
                <a:srgbClr val="B3B3B3"/>
              </a:solidFill>
            </a:ln>
          </c:spPr>
          <c:marker>
            <c:symbol val="none"/>
          </c:marker>
          <c:cat>
            <c:numRef>
              <c:f>CALCS!$A$5:$A$35</c:f>
              <c:numCache>
                <c:formatCode>mmm\-yy</c:formatCode>
                <c:ptCount val="31"/>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numCache>
            </c:numRef>
          </c:cat>
          <c:val>
            <c:numRef>
              <c:f>CALCS!$Q$5:$Q$35</c:f>
              <c:numCache>
                <c:formatCode>"$"#,##0</c:formatCode>
                <c:ptCount val="31"/>
                <c:pt idx="0">
                  <c:v>1000</c:v>
                </c:pt>
                <c:pt idx="1">
                  <c:v>1004.8764629388816</c:v>
                </c:pt>
                <c:pt idx="2">
                  <c:v>1030.2684007163302</c:v>
                </c:pt>
                <c:pt idx="3">
                  <c:v>1065.3513201504845</c:v>
                </c:pt>
                <c:pt idx="4">
                  <c:v>1068.3642447854661</c:v>
                </c:pt>
                <c:pt idx="5">
                  <c:v>1070.9756728688635</c:v>
                </c:pt>
                <c:pt idx="6">
                  <c:v>1162.8761203222086</c:v>
                </c:pt>
                <c:pt idx="7">
                  <c:v>1236.3482011319352</c:v>
                </c:pt>
                <c:pt idx="8">
                  <c:v>1237.3840735006431</c:v>
                </c:pt>
                <c:pt idx="9">
                  <c:v>1252.084599596222</c:v>
                </c:pt>
                <c:pt idx="10">
                  <c:v>1337.152345440938</c:v>
                </c:pt>
                <c:pt idx="11">
                  <c:v>1421.7671551791791</c:v>
                </c:pt>
                <c:pt idx="12">
                  <c:v>1492.9105465038604</c:v>
                </c:pt>
                <c:pt idx="13">
                  <c:v>1570.7211518353963</c:v>
                </c:pt>
                <c:pt idx="14">
                  <c:v>1664.4999924017629</c:v>
                </c:pt>
                <c:pt idx="15">
                  <c:v>1695.6569397037399</c:v>
                </c:pt>
                <c:pt idx="16">
                  <c:v>1709.6402830632292</c:v>
                </c:pt>
                <c:pt idx="17">
                  <c:v>1731.5678756002274</c:v>
                </c:pt>
                <c:pt idx="18">
                  <c:v>1841.5304566621787</c:v>
                </c:pt>
                <c:pt idx="19">
                  <c:v>1917.6195561173893</c:v>
                </c:pt>
                <c:pt idx="20">
                  <c:v>1925.97454679214</c:v>
                </c:pt>
                <c:pt idx="21">
                  <c:v>2041.8208658506899</c:v>
                </c:pt>
                <c:pt idx="22">
                  <c:v>2051.4392744353422</c:v>
                </c:pt>
                <c:pt idx="23">
                  <c:v>2139.2829286513352</c:v>
                </c:pt>
                <c:pt idx="24">
                  <c:v>2313.7094202294761</c:v>
                </c:pt>
                <c:pt idx="25">
                  <c:v>2591.1873952503743</c:v>
                </c:pt>
                <c:pt idx="26">
                  <c:v>2617.3980709053444</c:v>
                </c:pt>
                <c:pt idx="27">
                  <c:v>2650.1932195120453</c:v>
                </c:pt>
                <c:pt idx="28">
                  <c:v>2844.2775283316687</c:v>
                </c:pt>
                <c:pt idx="29">
                  <c:v>2937.3062299335697</c:v>
                </c:pt>
                <c:pt idx="30">
                  <c:v>3050.5932644111062</c:v>
                </c:pt>
              </c:numCache>
            </c:numRef>
          </c:val>
          <c:smooth val="0"/>
          <c:extLst>
            <c:ext xmlns:c16="http://schemas.microsoft.com/office/drawing/2014/chart" uri="{C3380CC4-5D6E-409C-BE32-E72D297353CC}">
              <c16:uniqueId val="{00000000-A4FB-4D8D-B8E9-82677DF79F21}"/>
            </c:ext>
          </c:extLst>
        </c:ser>
        <c:ser>
          <c:idx val="1"/>
          <c:order val="1"/>
          <c:tx>
            <c:v>FUND</c:v>
          </c:tx>
          <c:spPr>
            <a:ln w="31750">
              <a:solidFill>
                <a:srgbClr val="004080"/>
              </a:solidFill>
            </a:ln>
          </c:spPr>
          <c:marker>
            <c:symbol val="none"/>
          </c:marker>
          <c:cat>
            <c:numRef>
              <c:f>CALCS!$A$5:$A$35</c:f>
              <c:numCache>
                <c:formatCode>mmm\-yy</c:formatCode>
                <c:ptCount val="31"/>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numCache>
            </c:numRef>
          </c:cat>
          <c:val>
            <c:numRef>
              <c:f>CALCS!$G$5:$G$35</c:f>
              <c:numCache>
                <c:formatCode>"$"#,##0</c:formatCode>
                <c:ptCount val="31"/>
                <c:pt idx="0">
                  <c:v>1000</c:v>
                </c:pt>
                <c:pt idx="1">
                  <c:v>1004.5</c:v>
                </c:pt>
                <c:pt idx="2">
                  <c:v>1031.42</c:v>
                </c:pt>
                <c:pt idx="3">
                  <c:v>1065.45</c:v>
                </c:pt>
                <c:pt idx="4">
                  <c:v>1068.8599999999999</c:v>
                </c:pt>
                <c:pt idx="5">
                  <c:v>1072.71</c:v>
                </c:pt>
                <c:pt idx="6">
                  <c:v>1199.08</c:v>
                </c:pt>
                <c:pt idx="7">
                  <c:v>1294.28</c:v>
                </c:pt>
                <c:pt idx="8">
                  <c:v>1292.3399999999999</c:v>
                </c:pt>
                <c:pt idx="9">
                  <c:v>1267.6600000000001</c:v>
                </c:pt>
                <c:pt idx="10">
                  <c:v>1428.52</c:v>
                </c:pt>
                <c:pt idx="11">
                  <c:v>1286.53</c:v>
                </c:pt>
                <c:pt idx="12">
                  <c:v>1378</c:v>
                </c:pt>
                <c:pt idx="13">
                  <c:v>1469.64</c:v>
                </c:pt>
                <c:pt idx="14">
                  <c:v>1562.23</c:v>
                </c:pt>
                <c:pt idx="15">
                  <c:v>1590.66</c:v>
                </c:pt>
                <c:pt idx="16">
                  <c:v>1574.91</c:v>
                </c:pt>
                <c:pt idx="17">
                  <c:v>1599.16</c:v>
                </c:pt>
                <c:pt idx="18">
                  <c:v>1470.91</c:v>
                </c:pt>
                <c:pt idx="19">
                  <c:v>1547.99</c:v>
                </c:pt>
                <c:pt idx="20">
                  <c:v>1556.66</c:v>
                </c:pt>
                <c:pt idx="21">
                  <c:v>1403.79</c:v>
                </c:pt>
                <c:pt idx="22">
                  <c:v>1416.71</c:v>
                </c:pt>
                <c:pt idx="23">
                  <c:v>1300.82</c:v>
                </c:pt>
                <c:pt idx="24">
                  <c:v>1201.05</c:v>
                </c:pt>
                <c:pt idx="25">
                  <c:v>1081.42</c:v>
                </c:pt>
                <c:pt idx="26">
                  <c:v>1092.24</c:v>
                </c:pt>
                <c:pt idx="27">
                  <c:v>1081.8599999999999</c:v>
                </c:pt>
                <c:pt idx="28">
                  <c:v>1164.3</c:v>
                </c:pt>
                <c:pt idx="29">
                  <c:v>1200.3900000000001</c:v>
                </c:pt>
                <c:pt idx="30">
                  <c:v>1155.3800000000001</c:v>
                </c:pt>
              </c:numCache>
            </c:numRef>
          </c:val>
          <c:smooth val="0"/>
          <c:extLst>
            <c:ext xmlns:c16="http://schemas.microsoft.com/office/drawing/2014/chart" uri="{C3380CC4-5D6E-409C-BE32-E72D297353CC}">
              <c16:uniqueId val="{00000001-A4FB-4D8D-B8E9-82677DF79F21}"/>
            </c:ext>
          </c:extLst>
        </c:ser>
        <c:dLbls>
          <c:showLegendKey val="0"/>
          <c:showVal val="0"/>
          <c:showCatName val="0"/>
          <c:showSerName val="0"/>
          <c:showPercent val="0"/>
          <c:showBubbleSize val="0"/>
        </c:dLbls>
        <c:smooth val="0"/>
        <c:axId val="61852288"/>
        <c:axId val="61858176"/>
      </c:lineChart>
      <c:dateAx>
        <c:axId val="61852288"/>
        <c:scaling>
          <c:orientation val="minMax"/>
        </c:scaling>
        <c:delete val="0"/>
        <c:axPos val="b"/>
        <c:numFmt formatCode="mmm\-yy" sourceLinked="0"/>
        <c:majorTickMark val="none"/>
        <c:minorTickMark val="none"/>
        <c:tickLblPos val="nextTo"/>
        <c:txPr>
          <a:bodyPr rot="0" vert="horz"/>
          <a:lstStyle/>
          <a:p>
            <a:pPr>
              <a:defRPr sz="750" b="0" i="0" u="none" strike="noStrike" baseline="0">
                <a:solidFill>
                  <a:srgbClr val="000000"/>
                </a:solidFill>
                <a:latin typeface="Myriad Pro"/>
                <a:ea typeface="Myriad Pro"/>
                <a:cs typeface="Myriad Pro"/>
              </a:defRPr>
            </a:pPr>
            <a:endParaRPr lang="en-US"/>
          </a:p>
        </c:txPr>
        <c:crossAx val="61858176"/>
        <c:crosses val="autoZero"/>
        <c:auto val="1"/>
        <c:lblOffset val="100"/>
        <c:baseTimeUnit val="months"/>
      </c:dateAx>
      <c:valAx>
        <c:axId val="61858176"/>
        <c:scaling>
          <c:orientation val="minMax"/>
        </c:scaling>
        <c:delete val="0"/>
        <c:axPos val="l"/>
        <c:majorGridlines>
          <c:spPr>
            <a:ln>
              <a:solidFill>
                <a:srgbClr val="B3B3B3"/>
              </a:solidFill>
            </a:ln>
          </c:spPr>
        </c:majorGridlines>
        <c:numFmt formatCode="&quot;$&quot;#,##0" sourceLinked="1"/>
        <c:majorTickMark val="none"/>
        <c:minorTickMark val="none"/>
        <c:tickLblPos val="nextTo"/>
        <c:spPr>
          <a:noFill/>
          <a:ln>
            <a:noFill/>
          </a:ln>
        </c:spPr>
        <c:txPr>
          <a:bodyPr/>
          <a:lstStyle/>
          <a:p>
            <a:pPr>
              <a:defRPr sz="750"/>
            </a:pPr>
            <a:endParaRPr lang="en-US"/>
          </a:p>
        </c:txPr>
        <c:crossAx val="61852288"/>
        <c:crosses val="autoZero"/>
        <c:crossBetween val="between"/>
      </c:valAx>
    </c:plotArea>
    <c:plotVisOnly val="1"/>
    <c:dispBlanksAs val="gap"/>
    <c:showDLblsOverMax val="0"/>
  </c:chart>
  <c:spPr>
    <a:ln>
      <a:noFill/>
    </a:ln>
  </c:spPr>
  <c:txPr>
    <a:bodyPr/>
    <a:lstStyle/>
    <a:p>
      <a:pPr>
        <a:defRPr sz="800" b="0" i="0" u="none" strike="noStrike" baseline="0">
          <a:solidFill>
            <a:srgbClr val="000000"/>
          </a:solidFill>
          <a:latin typeface="Myriad Pro"/>
          <a:ea typeface="Myriad Pro"/>
          <a:cs typeface="Myriad Pro"/>
        </a:defRPr>
      </a:pPr>
      <a:endParaRPr lang="en-US"/>
    </a:p>
  </c:txPr>
  <c:printSettings>
    <c:headerFooter/>
    <c:pageMargins b="1" l="0.75000000000000111" r="0.75000000000000111" t="1" header="0.5" footer="0.5"/>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800" b="0" i="0" u="none" strike="noStrike" baseline="0">
                <a:solidFill>
                  <a:srgbClr val="000000"/>
                </a:solidFill>
                <a:latin typeface="Myriad Pro"/>
                <a:ea typeface="Myriad Pro"/>
                <a:cs typeface="Myriad Pro"/>
              </a:defRPr>
            </a:pPr>
            <a:r>
              <a:rPr lang="en-US"/>
              <a:t>market volatiility vs. net portfolio exposure</a:t>
            </a:r>
          </a:p>
        </c:rich>
      </c:tx>
      <c:layout>
        <c:manualLayout>
          <c:xMode val="edge"/>
          <c:yMode val="edge"/>
          <c:x val="6.5951696690732815E-4"/>
          <c:y val="2.3861580409245005E-3"/>
        </c:manualLayout>
      </c:layout>
      <c:overlay val="0"/>
      <c:spPr>
        <a:noFill/>
        <a:ln w="25400">
          <a:noFill/>
        </a:ln>
      </c:spPr>
    </c:title>
    <c:autoTitleDeleted val="0"/>
    <c:plotArea>
      <c:layout>
        <c:manualLayout>
          <c:layoutTarget val="inner"/>
          <c:xMode val="edge"/>
          <c:yMode val="edge"/>
          <c:x val="0.13290498272696147"/>
          <c:y val="0.104378437271193"/>
          <c:w val="0.81571161806355474"/>
          <c:h val="0.62281790051012664"/>
        </c:manualLayout>
      </c:layout>
      <c:areaChart>
        <c:grouping val="standard"/>
        <c:varyColors val="0"/>
        <c:ser>
          <c:idx val="3"/>
          <c:order val="1"/>
          <c:tx>
            <c:strRef>
              <c:f>CALCS!$N$4</c:f>
              <c:strCache>
                <c:ptCount val="1"/>
                <c:pt idx="0">
                  <c:v>Net</c:v>
                </c:pt>
              </c:strCache>
            </c:strRef>
          </c:tx>
          <c:spPr>
            <a:solidFill>
              <a:srgbClr val="004080"/>
            </a:solidFill>
            <a:ln w="25400">
              <a:noFill/>
            </a:ln>
          </c:spPr>
          <c:cat>
            <c:numRef>
              <c:f>CALCS!$A$5:$A$35</c:f>
              <c:numCache>
                <c:formatCode>mmm\-yy</c:formatCode>
                <c:ptCount val="31"/>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numCache>
            </c:numRef>
          </c:cat>
          <c:val>
            <c:numRef>
              <c:f>CALCS!$N$5:$N$35</c:f>
              <c:numCache>
                <c:formatCode>0%</c:formatCode>
                <c:ptCount val="31"/>
                <c:pt idx="0">
                  <c:v>0.60000000000000009</c:v>
                </c:pt>
                <c:pt idx="1">
                  <c:v>0.44479999999999997</c:v>
                </c:pt>
                <c:pt idx="2">
                  <c:v>0.50900000000000012</c:v>
                </c:pt>
                <c:pt idx="3">
                  <c:v>0.68630000000000002</c:v>
                </c:pt>
                <c:pt idx="4">
                  <c:v>0.79970000000000008</c:v>
                </c:pt>
                <c:pt idx="5">
                  <c:v>0.23620000000000008</c:v>
                </c:pt>
                <c:pt idx="6">
                  <c:v>0.28059999999999996</c:v>
                </c:pt>
                <c:pt idx="7">
                  <c:v>0.50790000000000002</c:v>
                </c:pt>
                <c:pt idx="8">
                  <c:v>0.54010000000000002</c:v>
                </c:pt>
                <c:pt idx="9">
                  <c:v>0.75370000000000004</c:v>
                </c:pt>
                <c:pt idx="10">
                  <c:v>0.80520000000000003</c:v>
                </c:pt>
                <c:pt idx="11">
                  <c:v>0.47260000000000002</c:v>
                </c:pt>
                <c:pt idx="12">
                  <c:v>0.38349999999999995</c:v>
                </c:pt>
                <c:pt idx="13">
                  <c:v>0.58749999999999991</c:v>
                </c:pt>
                <c:pt idx="14">
                  <c:v>0.53180000000000005</c:v>
                </c:pt>
                <c:pt idx="15">
                  <c:v>0.38390000000000002</c:v>
                </c:pt>
                <c:pt idx="16">
                  <c:v>0.46289999999999998</c:v>
                </c:pt>
                <c:pt idx="17">
                  <c:v>0.23929999999999996</c:v>
                </c:pt>
                <c:pt idx="18">
                  <c:v>0.60430000000000006</c:v>
                </c:pt>
                <c:pt idx="19">
                  <c:v>0.69199999999999995</c:v>
                </c:pt>
                <c:pt idx="20">
                  <c:v>0.70889999999999997</c:v>
                </c:pt>
                <c:pt idx="21">
                  <c:v>0.6452</c:v>
                </c:pt>
                <c:pt idx="22">
                  <c:v>0.55320000000000014</c:v>
                </c:pt>
                <c:pt idx="23">
                  <c:v>0.26729999999999998</c:v>
                </c:pt>
                <c:pt idx="24">
                  <c:v>0.28850000000000003</c:v>
                </c:pt>
                <c:pt idx="25">
                  <c:v>0.19550000000000001</c:v>
                </c:pt>
                <c:pt idx="26">
                  <c:v>0.10560000000000003</c:v>
                </c:pt>
                <c:pt idx="27">
                  <c:v>4.0000000000000036E-2</c:v>
                </c:pt>
                <c:pt idx="28">
                  <c:v>-6.1299999999999966E-2</c:v>
                </c:pt>
                <c:pt idx="29">
                  <c:v>3.3399999999999985E-2</c:v>
                </c:pt>
                <c:pt idx="30">
                  <c:v>-5.5100000000000038E-2</c:v>
                </c:pt>
              </c:numCache>
            </c:numRef>
          </c:val>
          <c:extLst>
            <c:ext xmlns:c16="http://schemas.microsoft.com/office/drawing/2014/chart" uri="{C3380CC4-5D6E-409C-BE32-E72D297353CC}">
              <c16:uniqueId val="{00000000-9F76-4357-9FF7-7DFA5E130C48}"/>
            </c:ext>
          </c:extLst>
        </c:ser>
        <c:dLbls>
          <c:showLegendKey val="0"/>
          <c:showVal val="0"/>
          <c:showCatName val="0"/>
          <c:showSerName val="0"/>
          <c:showPercent val="0"/>
          <c:showBubbleSize val="0"/>
        </c:dLbls>
        <c:axId val="62031360"/>
        <c:axId val="62032896"/>
      </c:areaChart>
      <c:lineChart>
        <c:grouping val="standard"/>
        <c:varyColors val="0"/>
        <c:ser>
          <c:idx val="2"/>
          <c:order val="0"/>
          <c:tx>
            <c:strRef>
              <c:f>CALCS!$D$4</c:f>
              <c:strCache>
                <c:ptCount val="1"/>
                <c:pt idx="0">
                  <c:v>3XI_VIX</c:v>
                </c:pt>
              </c:strCache>
            </c:strRef>
          </c:tx>
          <c:spPr>
            <a:ln w="3175">
              <a:solidFill>
                <a:srgbClr val="000000"/>
              </a:solidFill>
              <a:prstDash val="solid"/>
            </a:ln>
          </c:spPr>
          <c:marker>
            <c:symbol val="none"/>
          </c:marker>
          <c:trendline>
            <c:spPr>
              <a:ln w="25400">
                <a:solidFill>
                  <a:srgbClr val="DD0806"/>
                </a:solidFill>
                <a:prstDash val="solid"/>
              </a:ln>
            </c:spPr>
            <c:trendlineType val="movingAvg"/>
            <c:period val="6"/>
            <c:dispRSqr val="0"/>
            <c:dispEq val="0"/>
          </c:trendline>
          <c:cat>
            <c:numRef>
              <c:f>CALCS!$A$5:$A$35</c:f>
              <c:numCache>
                <c:formatCode>mmm\-yy</c:formatCode>
                <c:ptCount val="31"/>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numCache>
            </c:numRef>
          </c:cat>
          <c:val>
            <c:numRef>
              <c:f>CALCS!$D$5:$D$35</c:f>
              <c:numCache>
                <c:formatCode>0%</c:formatCode>
                <c:ptCount val="31"/>
                <c:pt idx="0">
                  <c:v>7.3499999999999996E-2</c:v>
                </c:pt>
                <c:pt idx="1">
                  <c:v>1.8E-3</c:v>
                </c:pt>
                <c:pt idx="2">
                  <c:v>5.96E-2</c:v>
                </c:pt>
                <c:pt idx="3">
                  <c:v>9.8599999999999993E-2</c:v>
                </c:pt>
                <c:pt idx="4">
                  <c:v>0.7742</c:v>
                </c:pt>
                <c:pt idx="5">
                  <c:v>5.0599999999999999E-2</c:v>
                </c:pt>
                <c:pt idx="6">
                  <c:v>2.87E-2</c:v>
                </c:pt>
                <c:pt idx="7">
                  <c:v>8.2299999999999998E-2</c:v>
                </c:pt>
                <c:pt idx="8">
                  <c:v>0.2437</c:v>
                </c:pt>
                <c:pt idx="9">
                  <c:v>0.44919999999999999</c:v>
                </c:pt>
                <c:pt idx="10">
                  <c:v>6.0000000000000001E-3</c:v>
                </c:pt>
                <c:pt idx="11">
                  <c:v>0.2301</c:v>
                </c:pt>
                <c:pt idx="12">
                  <c:v>2.9399999999999999E-2</c:v>
                </c:pt>
                <c:pt idx="13">
                  <c:v>0.23419999999999999</c:v>
                </c:pt>
                <c:pt idx="14">
                  <c:v>1.6199999999999999E-2</c:v>
                </c:pt>
                <c:pt idx="15">
                  <c:v>0.16439999999999999</c:v>
                </c:pt>
                <c:pt idx="16">
                  <c:v>1.2999999999999999E-2</c:v>
                </c:pt>
                <c:pt idx="17">
                  <c:v>3.5000000000000003E-2</c:v>
                </c:pt>
                <c:pt idx="18">
                  <c:v>0.18820000000000001</c:v>
                </c:pt>
                <c:pt idx="19">
                  <c:v>0.1424</c:v>
                </c:pt>
                <c:pt idx="20">
                  <c:v>0.34320000000000001</c:v>
                </c:pt>
                <c:pt idx="21">
                  <c:v>9.98E-2</c:v>
                </c:pt>
                <c:pt idx="22">
                  <c:v>9.98E-2</c:v>
                </c:pt>
                <c:pt idx="23">
                  <c:v>0.90649999999999997</c:v>
                </c:pt>
                <c:pt idx="24">
                  <c:v>0.52039999999999997</c:v>
                </c:pt>
                <c:pt idx="25">
                  <c:v>7.6999999999999999E-2</c:v>
                </c:pt>
                <c:pt idx="26">
                  <c:v>0.27639999999999998</c:v>
                </c:pt>
                <c:pt idx="27">
                  <c:v>0.121</c:v>
                </c:pt>
                <c:pt idx="28">
                  <c:v>3.3700000000000001E-2</c:v>
                </c:pt>
                <c:pt idx="29">
                  <c:v>4.7699999999999999E-2</c:v>
                </c:pt>
                <c:pt idx="30">
                  <c:v>0.1731</c:v>
                </c:pt>
              </c:numCache>
            </c:numRef>
          </c:val>
          <c:smooth val="0"/>
          <c:extLst>
            <c:ext xmlns:c16="http://schemas.microsoft.com/office/drawing/2014/chart" uri="{C3380CC4-5D6E-409C-BE32-E72D297353CC}">
              <c16:uniqueId val="{00000001-9F76-4357-9FF7-7DFA5E130C48}"/>
            </c:ext>
          </c:extLst>
        </c:ser>
        <c:dLbls>
          <c:showLegendKey val="0"/>
          <c:showVal val="0"/>
          <c:showCatName val="0"/>
          <c:showSerName val="0"/>
          <c:showPercent val="0"/>
          <c:showBubbleSize val="0"/>
        </c:dLbls>
        <c:marker val="1"/>
        <c:smooth val="0"/>
        <c:axId val="62031360"/>
        <c:axId val="62032896"/>
      </c:lineChart>
      <c:dateAx>
        <c:axId val="62031360"/>
        <c:scaling>
          <c:orientation val="minMax"/>
        </c:scaling>
        <c:delete val="0"/>
        <c:axPos val="b"/>
        <c:numFmt formatCode="mmm\-yy" sourceLinked="0"/>
        <c:majorTickMark val="none"/>
        <c:minorTickMark val="none"/>
        <c:tickLblPos val="low"/>
        <c:txPr>
          <a:bodyPr rot="0" vert="horz"/>
          <a:lstStyle/>
          <a:p>
            <a:pPr>
              <a:defRPr sz="750" b="0" i="0" u="none" strike="noStrike" baseline="0">
                <a:solidFill>
                  <a:srgbClr val="000000"/>
                </a:solidFill>
                <a:latin typeface="Myriad Pro"/>
                <a:ea typeface="Myriad Pro"/>
                <a:cs typeface="Myriad Pro"/>
              </a:defRPr>
            </a:pPr>
            <a:endParaRPr lang="en-US"/>
          </a:p>
        </c:txPr>
        <c:crossAx val="62032896"/>
        <c:crosses val="autoZero"/>
        <c:auto val="1"/>
        <c:lblOffset val="100"/>
        <c:baseTimeUnit val="months"/>
      </c:dateAx>
      <c:valAx>
        <c:axId val="62032896"/>
        <c:scaling>
          <c:orientation val="minMax"/>
        </c:scaling>
        <c:delete val="0"/>
        <c:axPos val="l"/>
        <c:majorGridlines>
          <c:spPr>
            <a:ln>
              <a:solidFill>
                <a:srgbClr val="B3B3B3"/>
              </a:solidFill>
            </a:ln>
          </c:spPr>
        </c:majorGridlines>
        <c:numFmt formatCode="0%" sourceLinked="1"/>
        <c:majorTickMark val="none"/>
        <c:minorTickMark val="none"/>
        <c:tickLblPos val="nextTo"/>
        <c:spPr>
          <a:ln>
            <a:noFill/>
          </a:ln>
        </c:spPr>
        <c:crossAx val="62031360"/>
        <c:crosses val="autoZero"/>
        <c:crossBetween val="between"/>
      </c:valAx>
    </c:plotArea>
    <c:legend>
      <c:legendPos val="r"/>
      <c:layout>
        <c:manualLayout>
          <c:xMode val="edge"/>
          <c:yMode val="edge"/>
          <c:x val="2.6785792136905212E-2"/>
          <c:y val="0.89320388349514601"/>
          <c:w val="0.96131231780226123"/>
          <c:h val="7.7669902912621533E-2"/>
        </c:manualLayout>
      </c:layout>
      <c:overlay val="0"/>
    </c:legend>
    <c:plotVisOnly val="1"/>
    <c:dispBlanksAs val="gap"/>
    <c:showDLblsOverMax val="0"/>
  </c:chart>
  <c:spPr>
    <a:ln>
      <a:noFill/>
    </a:ln>
  </c:spPr>
  <c:txPr>
    <a:bodyPr/>
    <a:lstStyle/>
    <a:p>
      <a:pPr>
        <a:defRPr sz="750" b="0" i="0">
          <a:latin typeface="Myriad Pro"/>
          <a:cs typeface="Myriad Pro"/>
        </a:defRPr>
      </a:pPr>
      <a:endParaRPr lang="en-US"/>
    </a:p>
  </c:txPr>
  <c:printSettings>
    <c:headerFooter/>
    <c:pageMargins b="1" l="0.75000000000000111" r="0.75000000000000111" t="1" header="0.5" footer="0.5"/>
    <c:pageSetup orientation="portrait"/>
  </c:printSettings>
</c:chartSpace>
</file>

<file path=xl/ctrlProps/ctrlProp1.xml><?xml version="1.0" encoding="utf-8"?>
<formControlPr xmlns="http://schemas.microsoft.com/office/spreadsheetml/2009/9/main" objectType="Drop" dropStyle="combo" dx="16" fmlaLink="Path_ID!$C$2" fmlaRange="Path_ID!$B$3:$B$30" noThreeD="1" sel="8" val="7"/>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6</xdr:col>
      <xdr:colOff>9525</xdr:colOff>
      <xdr:row>2</xdr:row>
      <xdr:rowOff>28575</xdr:rowOff>
    </xdr:from>
    <xdr:to>
      <xdr:col>7</xdr:col>
      <xdr:colOff>800100</xdr:colOff>
      <xdr:row>10</xdr:row>
      <xdr:rowOff>190500</xdr:rowOff>
    </xdr:to>
    <xdr:graphicFrame macro="">
      <xdr:nvGraphicFramePr>
        <xdr:cNvPr id="58352" name="Chart 5">
          <a:extLst>
            <a:ext uri="{FF2B5EF4-FFF2-40B4-BE49-F238E27FC236}">
              <a16:creationId xmlns:a16="http://schemas.microsoft.com/office/drawing/2014/main" id="{00000000-0008-0000-0000-0000F0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28575</xdr:colOff>
      <xdr:row>25</xdr:row>
      <xdr:rowOff>38100</xdr:rowOff>
    </xdr:from>
    <xdr:to>
      <xdr:col>7</xdr:col>
      <xdr:colOff>800100</xdr:colOff>
      <xdr:row>38</xdr:row>
      <xdr:rowOff>152400</xdr:rowOff>
    </xdr:to>
    <xdr:graphicFrame macro="">
      <xdr:nvGraphicFramePr>
        <xdr:cNvPr id="58353" name="Chart 3">
          <a:extLst>
            <a:ext uri="{FF2B5EF4-FFF2-40B4-BE49-F238E27FC236}">
              <a16:creationId xmlns:a16="http://schemas.microsoft.com/office/drawing/2014/main" id="{00000000-0008-0000-0000-0000F1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xdr:colOff>
      <xdr:row>25</xdr:row>
      <xdr:rowOff>38100</xdr:rowOff>
    </xdr:from>
    <xdr:to>
      <xdr:col>3</xdr:col>
      <xdr:colOff>800100</xdr:colOff>
      <xdr:row>38</xdr:row>
      <xdr:rowOff>152400</xdr:rowOff>
    </xdr:to>
    <xdr:graphicFrame macro="">
      <xdr:nvGraphicFramePr>
        <xdr:cNvPr id="58354" name="Chart 4">
          <a:extLst>
            <a:ext uri="{FF2B5EF4-FFF2-40B4-BE49-F238E27FC236}">
              <a16:creationId xmlns:a16="http://schemas.microsoft.com/office/drawing/2014/main" id="{00000000-0008-0000-0000-0000F2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238125</xdr:colOff>
      <xdr:row>12</xdr:row>
      <xdr:rowOff>28575</xdr:rowOff>
    </xdr:from>
    <xdr:to>
      <xdr:col>7</xdr:col>
      <xdr:colOff>800100</xdr:colOff>
      <xdr:row>23</xdr:row>
      <xdr:rowOff>180975</xdr:rowOff>
    </xdr:to>
    <xdr:graphicFrame macro="">
      <xdr:nvGraphicFramePr>
        <xdr:cNvPr id="58355" name="Chart 2">
          <a:extLst>
            <a:ext uri="{FF2B5EF4-FFF2-40B4-BE49-F238E27FC236}">
              <a16:creationId xmlns:a16="http://schemas.microsoft.com/office/drawing/2014/main" id="{00000000-0008-0000-0000-0000F3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142875</xdr:colOff>
      <xdr:row>12</xdr:row>
      <xdr:rowOff>28575</xdr:rowOff>
    </xdr:from>
    <xdr:to>
      <xdr:col>2</xdr:col>
      <xdr:colOff>571500</xdr:colOff>
      <xdr:row>23</xdr:row>
      <xdr:rowOff>190500</xdr:rowOff>
    </xdr:to>
    <xdr:graphicFrame macro="">
      <xdr:nvGraphicFramePr>
        <xdr:cNvPr id="58356" name="Chart 6">
          <a:extLst>
            <a:ext uri="{FF2B5EF4-FFF2-40B4-BE49-F238E27FC236}">
              <a16:creationId xmlns:a16="http://schemas.microsoft.com/office/drawing/2014/main" id="{00000000-0008-0000-0000-0000F4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542925</xdr:colOff>
      <xdr:row>12</xdr:row>
      <xdr:rowOff>28575</xdr:rowOff>
    </xdr:from>
    <xdr:to>
      <xdr:col>5</xdr:col>
      <xdr:colOff>238125</xdr:colOff>
      <xdr:row>23</xdr:row>
      <xdr:rowOff>161925</xdr:rowOff>
    </xdr:to>
    <xdr:graphicFrame macro="">
      <xdr:nvGraphicFramePr>
        <xdr:cNvPr id="58357" name="Chart 7">
          <a:extLst>
            <a:ext uri="{FF2B5EF4-FFF2-40B4-BE49-F238E27FC236}">
              <a16:creationId xmlns:a16="http://schemas.microsoft.com/office/drawing/2014/main" id="{00000000-0008-0000-0000-0000F5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xdr:row>
      <xdr:rowOff>9525</xdr:rowOff>
    </xdr:from>
    <xdr:to>
      <xdr:col>2</xdr:col>
      <xdr:colOff>0</xdr:colOff>
      <xdr:row>10</xdr:row>
      <xdr:rowOff>180975</xdr:rowOff>
    </xdr:to>
    <xdr:graphicFrame macro="">
      <xdr:nvGraphicFramePr>
        <xdr:cNvPr id="58358" name="Chart 12">
          <a:extLst>
            <a:ext uri="{FF2B5EF4-FFF2-40B4-BE49-F238E27FC236}">
              <a16:creationId xmlns:a16="http://schemas.microsoft.com/office/drawing/2014/main" id="{00000000-0008-0000-0000-0000F6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38100</xdr:colOff>
      <xdr:row>2</xdr:row>
      <xdr:rowOff>28575</xdr:rowOff>
    </xdr:from>
    <xdr:to>
      <xdr:col>6</xdr:col>
      <xdr:colOff>0</xdr:colOff>
      <xdr:row>10</xdr:row>
      <xdr:rowOff>47625</xdr:rowOff>
    </xdr:to>
    <xdr:graphicFrame macro="">
      <xdr:nvGraphicFramePr>
        <xdr:cNvPr id="58359" name="Chart 14">
          <a:extLst>
            <a:ext uri="{FF2B5EF4-FFF2-40B4-BE49-F238E27FC236}">
              <a16:creationId xmlns:a16="http://schemas.microsoft.com/office/drawing/2014/main" id="{00000000-0008-0000-0000-0000F7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38100</xdr:colOff>
      <xdr:row>2</xdr:row>
      <xdr:rowOff>28575</xdr:rowOff>
    </xdr:from>
    <xdr:to>
      <xdr:col>3</xdr:col>
      <xdr:colOff>800100</xdr:colOff>
      <xdr:row>10</xdr:row>
      <xdr:rowOff>104775</xdr:rowOff>
    </xdr:to>
    <xdr:graphicFrame macro="">
      <xdr:nvGraphicFramePr>
        <xdr:cNvPr id="58360" name="Chart 15">
          <a:extLst>
            <a:ext uri="{FF2B5EF4-FFF2-40B4-BE49-F238E27FC236}">
              <a16:creationId xmlns:a16="http://schemas.microsoft.com/office/drawing/2014/main" id="{00000000-0008-0000-0000-0000F8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38100</xdr:colOff>
      <xdr:row>39</xdr:row>
      <xdr:rowOff>38100</xdr:rowOff>
    </xdr:from>
    <xdr:to>
      <xdr:col>3</xdr:col>
      <xdr:colOff>800100</xdr:colOff>
      <xdr:row>51</xdr:row>
      <xdr:rowOff>95250</xdr:rowOff>
    </xdr:to>
    <xdr:graphicFrame macro="">
      <xdr:nvGraphicFramePr>
        <xdr:cNvPr id="58361" name="Chart 2">
          <a:extLst>
            <a:ext uri="{FF2B5EF4-FFF2-40B4-BE49-F238E27FC236}">
              <a16:creationId xmlns:a16="http://schemas.microsoft.com/office/drawing/2014/main" id="{00000000-0008-0000-0000-0000F9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28575</xdr:colOff>
      <xdr:row>39</xdr:row>
      <xdr:rowOff>9525</xdr:rowOff>
    </xdr:from>
    <xdr:to>
      <xdr:col>7</xdr:col>
      <xdr:colOff>800100</xdr:colOff>
      <xdr:row>52</xdr:row>
      <xdr:rowOff>0</xdr:rowOff>
    </xdr:to>
    <xdr:graphicFrame macro="">
      <xdr:nvGraphicFramePr>
        <xdr:cNvPr id="58362" name="Chart 4">
          <a:extLst>
            <a:ext uri="{FF2B5EF4-FFF2-40B4-BE49-F238E27FC236}">
              <a16:creationId xmlns:a16="http://schemas.microsoft.com/office/drawing/2014/main" id="{00000000-0008-0000-0000-0000FAE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581025</xdr:colOff>
          <xdr:row>0</xdr:row>
          <xdr:rowOff>190500</xdr:rowOff>
        </xdr:from>
        <xdr:to>
          <xdr:col>5</xdr:col>
          <xdr:colOff>28575</xdr:colOff>
          <xdr:row>1</xdr:row>
          <xdr:rowOff>9525</xdr:rowOff>
        </xdr:to>
        <xdr:sp macro="" textlink="">
          <xdr:nvSpPr>
            <xdr:cNvPr id="58339" name="cmbFileList" hidden="1">
              <a:extLst>
                <a:ext uri="{63B3BB69-23CF-44E3-9099-C40C66FF867C}">
                  <a14:compatExt spid="_x0000_s58339"/>
                </a:ext>
                <a:ext uri="{FF2B5EF4-FFF2-40B4-BE49-F238E27FC236}">
                  <a16:creationId xmlns:a16="http://schemas.microsoft.com/office/drawing/2014/main" id="{00000000-0008-0000-0000-0000E3E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78</xdr:row>
          <xdr:rowOff>85725</xdr:rowOff>
        </xdr:from>
        <xdr:to>
          <xdr:col>2</xdr:col>
          <xdr:colOff>371475</xdr:colOff>
          <xdr:row>81</xdr:row>
          <xdr:rowOff>9525</xdr:rowOff>
        </xdr:to>
        <xdr:sp macro="" textlink="">
          <xdr:nvSpPr>
            <xdr:cNvPr id="58338" name="Button 994" hidden="1">
              <a:extLst>
                <a:ext uri="{63B3BB69-23CF-44E3-9099-C40C66FF867C}">
                  <a14:compatExt spid="_x0000_s58338"/>
                </a:ext>
                <a:ext uri="{FF2B5EF4-FFF2-40B4-BE49-F238E27FC236}">
                  <a16:creationId xmlns:a16="http://schemas.microsoft.com/office/drawing/2014/main" id="{00000000-0008-0000-0000-0000E2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Refresh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180975</xdr:rowOff>
        </xdr:from>
        <xdr:to>
          <xdr:col>6</xdr:col>
          <xdr:colOff>304800</xdr:colOff>
          <xdr:row>1</xdr:row>
          <xdr:rowOff>28575</xdr:rowOff>
        </xdr:to>
        <xdr:sp macro="" textlink="">
          <xdr:nvSpPr>
            <xdr:cNvPr id="58340" name="Button 996" hidden="1">
              <a:extLst>
                <a:ext uri="{63B3BB69-23CF-44E3-9099-C40C66FF867C}">
                  <a14:compatExt spid="_x0000_s58340"/>
                </a:ext>
                <a:ext uri="{FF2B5EF4-FFF2-40B4-BE49-F238E27FC236}">
                  <a16:creationId xmlns:a16="http://schemas.microsoft.com/office/drawing/2014/main" id="{00000000-0008-0000-0000-0000E4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0</xdr:row>
          <xdr:rowOff>180975</xdr:rowOff>
        </xdr:from>
        <xdr:to>
          <xdr:col>1</xdr:col>
          <xdr:colOff>276225</xdr:colOff>
          <xdr:row>1</xdr:row>
          <xdr:rowOff>28575</xdr:rowOff>
        </xdr:to>
        <xdr:sp macro="" textlink="">
          <xdr:nvSpPr>
            <xdr:cNvPr id="58341" name="Button 997" hidden="1">
              <a:extLst>
                <a:ext uri="{63B3BB69-23CF-44E3-9099-C40C66FF867C}">
                  <a14:compatExt spid="_x0000_s58341"/>
                </a:ext>
                <a:ext uri="{FF2B5EF4-FFF2-40B4-BE49-F238E27FC236}">
                  <a16:creationId xmlns:a16="http://schemas.microsoft.com/office/drawing/2014/main" id="{00000000-0008-0000-0000-0000E5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Open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53</xdr:row>
          <xdr:rowOff>9525</xdr:rowOff>
        </xdr:from>
        <xdr:to>
          <xdr:col>1</xdr:col>
          <xdr:colOff>276225</xdr:colOff>
          <xdr:row>55</xdr:row>
          <xdr:rowOff>47625</xdr:rowOff>
        </xdr:to>
        <xdr:sp macro="" textlink="">
          <xdr:nvSpPr>
            <xdr:cNvPr id="58345" name="Button 1001" hidden="1">
              <a:extLst>
                <a:ext uri="{63B3BB69-23CF-44E3-9099-C40C66FF867C}">
                  <a14:compatExt spid="_x0000_s58345"/>
                </a:ext>
                <a:ext uri="{FF2B5EF4-FFF2-40B4-BE49-F238E27FC236}">
                  <a16:creationId xmlns:a16="http://schemas.microsoft.com/office/drawing/2014/main" id="{00000000-0008-0000-0000-0000E9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78</xdr:row>
          <xdr:rowOff>104775</xdr:rowOff>
        </xdr:from>
        <xdr:to>
          <xdr:col>4</xdr:col>
          <xdr:colOff>542925</xdr:colOff>
          <xdr:row>81</xdr:row>
          <xdr:rowOff>28575</xdr:rowOff>
        </xdr:to>
        <xdr:sp macro="" textlink="">
          <xdr:nvSpPr>
            <xdr:cNvPr id="58347" name="Button 1003" hidden="1">
              <a:extLst>
                <a:ext uri="{63B3BB69-23CF-44E3-9099-C40C66FF867C}">
                  <a14:compatExt spid="_x0000_s58347"/>
                </a:ext>
                <a:ext uri="{FF2B5EF4-FFF2-40B4-BE49-F238E27FC236}">
                  <a16:creationId xmlns:a16="http://schemas.microsoft.com/office/drawing/2014/main" id="{00000000-0008-0000-0000-0000EB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771525</xdr:colOff>
          <xdr:row>53</xdr:row>
          <xdr:rowOff>9525</xdr:rowOff>
        </xdr:from>
        <xdr:to>
          <xdr:col>7</xdr:col>
          <xdr:colOff>180975</xdr:colOff>
          <xdr:row>55</xdr:row>
          <xdr:rowOff>47625</xdr:rowOff>
        </xdr:to>
        <xdr:sp macro="" textlink="">
          <xdr:nvSpPr>
            <xdr:cNvPr id="58350" name="Button 1006" hidden="1">
              <a:extLst>
                <a:ext uri="{63B3BB69-23CF-44E3-9099-C40C66FF867C}">
                  <a14:compatExt spid="_x0000_s58350"/>
                </a:ext>
                <a:ext uri="{FF2B5EF4-FFF2-40B4-BE49-F238E27FC236}">
                  <a16:creationId xmlns:a16="http://schemas.microsoft.com/office/drawing/2014/main" id="{00000000-0008-0000-0000-0000EE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Reset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53</xdr:row>
          <xdr:rowOff>9525</xdr:rowOff>
        </xdr:from>
        <xdr:to>
          <xdr:col>2</xdr:col>
          <xdr:colOff>571500</xdr:colOff>
          <xdr:row>55</xdr:row>
          <xdr:rowOff>47625</xdr:rowOff>
        </xdr:to>
        <xdr:sp macro="" textlink="">
          <xdr:nvSpPr>
            <xdr:cNvPr id="58351" name="Button 1007" hidden="1">
              <a:extLst>
                <a:ext uri="{63B3BB69-23CF-44E3-9099-C40C66FF867C}">
                  <a14:compatExt spid="_x0000_s58351"/>
                </a:ext>
                <a:ext uri="{FF2B5EF4-FFF2-40B4-BE49-F238E27FC236}">
                  <a16:creationId xmlns:a16="http://schemas.microsoft.com/office/drawing/2014/main" id="{00000000-0008-0000-0000-0000EFE3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Lucida Grande"/>
                </a:rPr>
                <a:t>Quick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53</xdr:row>
          <xdr:rowOff>9525</xdr:rowOff>
        </xdr:from>
        <xdr:to>
          <xdr:col>4</xdr:col>
          <xdr:colOff>66675</xdr:colOff>
          <xdr:row>55</xdr:row>
          <xdr:rowOff>47625</xdr:rowOff>
        </xdr:to>
        <xdr:sp macro="" textlink="">
          <xdr:nvSpPr>
            <xdr:cNvPr id="58363" name="Button 1019" hidden="1">
              <a:extLst>
                <a:ext uri="{63B3BB69-23CF-44E3-9099-C40C66FF867C}">
                  <a14:compatExt spid="_x0000_s58363"/>
                </a:ext>
                <a:ext uri="{FF2B5EF4-FFF2-40B4-BE49-F238E27FC236}">
                  <a16:creationId xmlns:a16="http://schemas.microsoft.com/office/drawing/2014/main" id="{00000000-0008-0000-0000-0000FBE3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1" i="0" u="none" strike="noStrike" baseline="0">
                  <a:solidFill>
                    <a:srgbClr val="000000"/>
                  </a:solidFill>
                  <a:latin typeface="Calibri"/>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53</xdr:row>
          <xdr:rowOff>9525</xdr:rowOff>
        </xdr:from>
        <xdr:to>
          <xdr:col>5</xdr:col>
          <xdr:colOff>590550</xdr:colOff>
          <xdr:row>55</xdr:row>
          <xdr:rowOff>47625</xdr:rowOff>
        </xdr:to>
        <xdr:sp macro="" textlink="">
          <xdr:nvSpPr>
            <xdr:cNvPr id="58364" name="Button 1020" hidden="1">
              <a:extLst>
                <a:ext uri="{63B3BB69-23CF-44E3-9099-C40C66FF867C}">
                  <a14:compatExt spid="_x0000_s58364"/>
                </a:ext>
                <a:ext uri="{FF2B5EF4-FFF2-40B4-BE49-F238E27FC236}">
                  <a16:creationId xmlns:a16="http://schemas.microsoft.com/office/drawing/2014/main" id="{00000000-0008-0000-0000-0000FCE3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1" i="0" u="none" strike="noStrike" baseline="0">
                  <a:solidFill>
                    <a:srgbClr val="000000"/>
                  </a:solidFill>
                  <a:latin typeface="Calibri"/>
                </a:rPr>
                <a:t>Quick Save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2362200</xdr:colOff>
      <xdr:row>0</xdr:row>
      <xdr:rowOff>419100</xdr:rowOff>
    </xdr:to>
    <xdr:pic>
      <xdr:nvPicPr>
        <xdr:cNvPr id="71681" name="Picture 14" descr="ctivate">
          <a:extLst>
            <a:ext uri="{FF2B5EF4-FFF2-40B4-BE49-F238E27FC236}">
              <a16:creationId xmlns:a16="http://schemas.microsoft.com/office/drawing/2014/main" id="{00000000-0008-0000-0300-0000011801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0"/>
          <a:ext cx="2362200" cy="4191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22</xdr:col>
      <xdr:colOff>0</xdr:colOff>
      <xdr:row>0</xdr:row>
      <xdr:rowOff>47625</xdr:rowOff>
    </xdr:from>
    <xdr:to>
      <xdr:col>22</xdr:col>
      <xdr:colOff>0</xdr:colOff>
      <xdr:row>0</xdr:row>
      <xdr:rowOff>381000</xdr:rowOff>
    </xdr:to>
    <xdr:pic>
      <xdr:nvPicPr>
        <xdr:cNvPr id="6149" name="Picture 11" descr="GLC_Name">
          <a:extLst>
            <a:ext uri="{FF2B5EF4-FFF2-40B4-BE49-F238E27FC236}">
              <a16:creationId xmlns:a16="http://schemas.microsoft.com/office/drawing/2014/main" id="{00000000-0008-0000-0B00-000005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2299275" y="47625"/>
          <a:ext cx="0" cy="3333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sf\Users\amin\Documents\Personal\Dropbox.Share\Dropbox\Share.Point\Jintech\in8\Documents\Documents\Macros%20Phase%203\05062011%20UrgentRequest\GLC_MPMAKE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sf\Users\borzou\Library\Mail%20Downloads\GLC_MPMAKER%20SIMPLIFIED%20TAB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2)"/>
      <sheetName val="InvPolicy"/>
      <sheetName val="InvPolicy (2)"/>
      <sheetName val="NAV"/>
      <sheetName val="C_downM"/>
      <sheetName val="C_upM"/>
      <sheetName val="LS_EXPO"/>
      <sheetName val="R_Component"/>
      <sheetName val="P_NAV"/>
      <sheetName val="P_Change"/>
      <sheetName val="P_Growth"/>
      <sheetName val="Assumptions"/>
      <sheetName val="Analysis"/>
      <sheetName val="Transposed Table"/>
      <sheetName val="Path_ID"/>
      <sheetName val="Qualitative"/>
      <sheetName val="Strategy_Aloc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2)"/>
      <sheetName val="InvPolicy"/>
      <sheetName val="NAV"/>
      <sheetName val="CALCS"/>
      <sheetName val="Path_ID"/>
      <sheetName val="Analysis"/>
      <sheetName val="Qualitative"/>
      <sheetName val="Strategy_Alocs"/>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O53"/>
  <sheetViews>
    <sheetView tabSelected="1" zoomScale="80" zoomScaleNormal="80" zoomScalePageLayoutView="150" workbookViewId="0"/>
  </sheetViews>
  <sheetFormatPr defaultColWidth="10.875" defaultRowHeight="10.15"/>
  <cols>
    <col min="1" max="8" width="10.625" style="179" customWidth="1"/>
    <col min="9" max="9" width="5.875" style="179" customWidth="1"/>
    <col min="10" max="10" width="29.875" style="179" customWidth="1"/>
    <col min="11" max="11" width="26.125" style="179" customWidth="1"/>
    <col min="12" max="12" width="8.125" style="179" customWidth="1"/>
    <col min="13" max="13" width="13.125" style="179" bestFit="1" customWidth="1"/>
    <col min="14" max="16384" width="10.875" style="179"/>
  </cols>
  <sheetData>
    <row r="1" spans="1:8" ht="39.75" customHeight="1">
      <c r="A1" s="185" t="s">
        <v>460</v>
      </c>
      <c r="H1" s="186" t="str">
        <f>Reprt_2!C2</f>
        <v>F6_ALG</v>
      </c>
    </row>
    <row r="2" spans="1:8" ht="14.1" customHeight="1">
      <c r="A2" s="187" t="s">
        <v>61</v>
      </c>
      <c r="B2" s="188"/>
      <c r="C2" s="189"/>
      <c r="D2" s="190"/>
      <c r="E2" s="188"/>
      <c r="F2" s="188"/>
      <c r="G2" s="189" t="s">
        <v>6</v>
      </c>
      <c r="H2" s="189" t="str">
        <f>Reprt_2!B2</f>
        <v>XI_IXF</v>
      </c>
    </row>
    <row r="3" spans="1:8" ht="14.1" customHeight="1"/>
    <row r="4" spans="1:8" ht="14.1" customHeight="1"/>
    <row r="5" spans="1:8" ht="14.1" customHeight="1"/>
    <row r="6" spans="1:8" ht="14.1" customHeight="1"/>
    <row r="7" spans="1:8" ht="14.1" customHeight="1"/>
    <row r="8" spans="1:8" ht="14.1" customHeight="1"/>
    <row r="9" spans="1:8" ht="14.1" customHeight="1"/>
    <row r="10" spans="1:8" ht="14.1" customHeight="1"/>
    <row r="11" spans="1:8" ht="14.1" customHeight="1"/>
    <row r="12" spans="1:8" ht="14.1" customHeight="1">
      <c r="A12" s="187" t="s">
        <v>62</v>
      </c>
      <c r="B12" s="188"/>
      <c r="C12" s="188"/>
      <c r="D12" s="188"/>
      <c r="E12" s="188"/>
      <c r="F12" s="188"/>
      <c r="G12" s="188"/>
      <c r="H12" s="188"/>
    </row>
    <row r="13" spans="1:8" ht="14.1" customHeight="1"/>
    <row r="14" spans="1:8" ht="14.1" customHeight="1"/>
    <row r="15" spans="1:8" ht="14.1" customHeight="1"/>
    <row r="16" spans="1:8" ht="14.1" customHeight="1"/>
    <row r="17" spans="1:10" ht="14.1" customHeight="1"/>
    <row r="18" spans="1:10" ht="14.1" customHeight="1"/>
    <row r="19" spans="1:10" ht="14.1" customHeight="1"/>
    <row r="20" spans="1:10" ht="14.1" customHeight="1"/>
    <row r="21" spans="1:10" ht="14.1" customHeight="1">
      <c r="J21" s="208"/>
    </row>
    <row r="22" spans="1:10" ht="14.1" customHeight="1"/>
    <row r="23" spans="1:10" ht="14.1" customHeight="1"/>
    <row r="24" spans="1:10" ht="14.1" customHeight="1">
      <c r="D24" s="179" t="s">
        <v>287</v>
      </c>
    </row>
    <row r="25" spans="1:10" ht="14.1" customHeight="1">
      <c r="A25" s="187" t="s">
        <v>63</v>
      </c>
      <c r="B25" s="187"/>
      <c r="C25" s="188"/>
      <c r="D25" s="191"/>
      <c r="E25" s="188"/>
      <c r="F25" s="191"/>
      <c r="G25" s="188"/>
      <c r="H25" s="188"/>
    </row>
    <row r="26" spans="1:10" ht="14.1" customHeight="1"/>
    <row r="27" spans="1:10" ht="14.1" customHeight="1">
      <c r="B27" s="180"/>
    </row>
    <row r="28" spans="1:10" ht="14.1" customHeight="1">
      <c r="B28" s="180"/>
    </row>
    <row r="29" spans="1:10" ht="14.1" customHeight="1"/>
    <row r="30" spans="1:10" ht="14.1" customHeight="1"/>
    <row r="31" spans="1:10" ht="14.1" customHeight="1"/>
    <row r="32" spans="1:10" ht="14.1" customHeight="1"/>
    <row r="33" spans="1:15" ht="14.1" customHeight="1"/>
    <row r="34" spans="1:15" ht="14.1" customHeight="1"/>
    <row r="35" spans="1:15" ht="14.1" customHeight="1"/>
    <row r="36" spans="1:15" ht="14.1" customHeight="1"/>
    <row r="37" spans="1:15" ht="14.1" customHeight="1"/>
    <row r="38" spans="1:15" ht="14.1" customHeight="1"/>
    <row r="39" spans="1:15" ht="14.1" customHeight="1"/>
    <row r="40" spans="1:15" ht="14.1" customHeight="1"/>
    <row r="41" spans="1:15" ht="14.1" customHeight="1">
      <c r="A41" s="183"/>
      <c r="B41" s="184"/>
      <c r="C41" s="184"/>
      <c r="D41" s="184"/>
      <c r="E41" s="184"/>
      <c r="F41" s="184"/>
      <c r="G41" s="184"/>
      <c r="H41" s="184"/>
      <c r="I41" s="184"/>
    </row>
    <row r="42" spans="1:15" ht="14.1" customHeight="1"/>
    <row r="43" spans="1:15" ht="14.1" customHeight="1">
      <c r="B43" s="182"/>
      <c r="C43" s="182"/>
      <c r="D43" s="182"/>
      <c r="E43" s="182"/>
      <c r="F43" s="182"/>
      <c r="G43" s="182"/>
      <c r="H43" s="182"/>
      <c r="I43" s="182"/>
    </row>
    <row r="46" spans="1:15">
      <c r="O46" s="179" t="s">
        <v>286</v>
      </c>
    </row>
    <row r="53" spans="1:8" ht="15" customHeight="1">
      <c r="A53" s="192" t="s">
        <v>88</v>
      </c>
      <c r="B53" s="188"/>
      <c r="C53" s="188"/>
      <c r="D53" s="188"/>
      <c r="E53" s="188"/>
      <c r="F53" s="188"/>
      <c r="G53" s="188"/>
      <c r="H53" s="188"/>
    </row>
  </sheetData>
  <phoneticPr fontId="8" type="noConversion"/>
  <printOptions horizontalCentered="1" verticalCentered="1"/>
  <pageMargins left="0.25" right="0.25" top="0.25" bottom="0.25" header="0" footer="0"/>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58339" r:id="rId4" name="cmbFileList">
              <controlPr defaultSize="0" print="0" autoLine="0" autoPict="0">
                <anchor moveWithCells="1">
                  <from>
                    <xdr:col>2</xdr:col>
                    <xdr:colOff>581025</xdr:colOff>
                    <xdr:row>0</xdr:row>
                    <xdr:rowOff>190500</xdr:rowOff>
                  </from>
                  <to>
                    <xdr:col>5</xdr:col>
                    <xdr:colOff>28575</xdr:colOff>
                    <xdr:row>1</xdr:row>
                    <xdr:rowOff>9525</xdr:rowOff>
                  </to>
                </anchor>
              </controlPr>
            </control>
          </mc:Choice>
        </mc:AlternateContent>
        <mc:AlternateContent xmlns:mc="http://schemas.openxmlformats.org/markup-compatibility/2006">
          <mc:Choice Requires="x14">
            <control shapeId="58338" r:id="rId5" name="Button 994">
              <controlPr defaultSize="0" print="0" autoFill="0" autoPict="0" macro="[0]!btnRefreshFilesList">
                <anchor moveWithCells="1">
                  <from>
                    <xdr:col>1</xdr:col>
                    <xdr:colOff>123825</xdr:colOff>
                    <xdr:row>78</xdr:row>
                    <xdr:rowOff>85725</xdr:rowOff>
                  </from>
                  <to>
                    <xdr:col>2</xdr:col>
                    <xdr:colOff>371475</xdr:colOff>
                    <xdr:row>81</xdr:row>
                    <xdr:rowOff>9525</xdr:rowOff>
                  </to>
                </anchor>
              </controlPr>
            </control>
          </mc:Choice>
        </mc:AlternateContent>
        <mc:AlternateContent xmlns:mc="http://schemas.openxmlformats.org/markup-compatibility/2006">
          <mc:Choice Requires="x14">
            <control shapeId="58340" r:id="rId6" name="Button 996">
              <controlPr defaultSize="0" print="0" autoFill="0" autoPict="0" macro="[0]!btnTransposeData_Click">
                <anchor moveWithCells="1">
                  <from>
                    <xdr:col>5</xdr:col>
                    <xdr:colOff>66675</xdr:colOff>
                    <xdr:row>0</xdr:row>
                    <xdr:rowOff>180975</xdr:rowOff>
                  </from>
                  <to>
                    <xdr:col>6</xdr:col>
                    <xdr:colOff>304800</xdr:colOff>
                    <xdr:row>1</xdr:row>
                    <xdr:rowOff>28575</xdr:rowOff>
                  </to>
                </anchor>
              </controlPr>
            </control>
          </mc:Choice>
        </mc:AlternateContent>
        <mc:AlternateContent xmlns:mc="http://schemas.openxmlformats.org/markup-compatibility/2006">
          <mc:Choice Requires="x14">
            <control shapeId="58341" r:id="rId7" name="Button 997">
              <controlPr defaultSize="0" print="0" autoFill="0" autoPict="0" macro="[0]!btnOpenFile_Click">
                <anchor moveWithCells="1">
                  <from>
                    <xdr:col>0</xdr:col>
                    <xdr:colOff>28575</xdr:colOff>
                    <xdr:row>0</xdr:row>
                    <xdr:rowOff>180975</xdr:rowOff>
                  </from>
                  <to>
                    <xdr:col>1</xdr:col>
                    <xdr:colOff>276225</xdr:colOff>
                    <xdr:row>1</xdr:row>
                    <xdr:rowOff>28575</xdr:rowOff>
                  </to>
                </anchor>
              </controlPr>
            </control>
          </mc:Choice>
        </mc:AlternateContent>
        <mc:AlternateContent xmlns:mc="http://schemas.openxmlformats.org/markup-compatibility/2006">
          <mc:Choice Requires="x14">
            <control shapeId="58345" r:id="rId8" name="Button 1001">
              <controlPr defaultSize="0" print="0" autoFill="0" autoPict="0" macro="[0]!btnPrintSheets_OnClick">
                <anchor moveWithCells="1" sizeWithCells="1">
                  <from>
                    <xdr:col>0</xdr:col>
                    <xdr:colOff>28575</xdr:colOff>
                    <xdr:row>53</xdr:row>
                    <xdr:rowOff>9525</xdr:rowOff>
                  </from>
                  <to>
                    <xdr:col>1</xdr:col>
                    <xdr:colOff>276225</xdr:colOff>
                    <xdr:row>55</xdr:row>
                    <xdr:rowOff>47625</xdr:rowOff>
                  </to>
                </anchor>
              </controlPr>
            </control>
          </mc:Choice>
        </mc:AlternateContent>
        <mc:AlternateContent xmlns:mc="http://schemas.openxmlformats.org/markup-compatibility/2006">
          <mc:Choice Requires="x14">
            <control shapeId="58347" r:id="rId9" name="Button 1003">
              <controlPr defaultSize="0" print="0" autoFill="0" autoPict="0" macro="[0]!btnAdjustChart_OnClick">
                <anchor moveWithCells="1">
                  <from>
                    <xdr:col>3</xdr:col>
                    <xdr:colOff>295275</xdr:colOff>
                    <xdr:row>78</xdr:row>
                    <xdr:rowOff>104775</xdr:rowOff>
                  </from>
                  <to>
                    <xdr:col>4</xdr:col>
                    <xdr:colOff>542925</xdr:colOff>
                    <xdr:row>81</xdr:row>
                    <xdr:rowOff>28575</xdr:rowOff>
                  </to>
                </anchor>
              </controlPr>
            </control>
          </mc:Choice>
        </mc:AlternateContent>
        <mc:AlternateContent xmlns:mc="http://schemas.openxmlformats.org/markup-compatibility/2006">
          <mc:Choice Requires="x14">
            <control shapeId="58350" r:id="rId10" name="Button 1006">
              <controlPr defaultSize="0" print="0" autoFill="0" autoPict="0" macro="[0]!btnResetCharts_OnClick">
                <anchor moveWithCells="1" sizeWithCells="1">
                  <from>
                    <xdr:col>5</xdr:col>
                    <xdr:colOff>771525</xdr:colOff>
                    <xdr:row>53</xdr:row>
                    <xdr:rowOff>9525</xdr:rowOff>
                  </from>
                  <to>
                    <xdr:col>7</xdr:col>
                    <xdr:colOff>180975</xdr:colOff>
                    <xdr:row>55</xdr:row>
                    <xdr:rowOff>47625</xdr:rowOff>
                  </to>
                </anchor>
              </controlPr>
            </control>
          </mc:Choice>
        </mc:AlternateContent>
        <mc:AlternateContent xmlns:mc="http://schemas.openxmlformats.org/markup-compatibility/2006">
          <mc:Choice Requires="x14">
            <control shapeId="58351" r:id="rId11" name="Button 1007">
              <controlPr defaultSize="0" print="0" autoFill="0" autoPict="0" macro="[0]!btnQuickPrintSheets_OnClick">
                <anchor moveWithCells="1" sizeWithCells="1">
                  <from>
                    <xdr:col>1</xdr:col>
                    <xdr:colOff>333375</xdr:colOff>
                    <xdr:row>53</xdr:row>
                    <xdr:rowOff>9525</xdr:rowOff>
                  </from>
                  <to>
                    <xdr:col>2</xdr:col>
                    <xdr:colOff>571500</xdr:colOff>
                    <xdr:row>55</xdr:row>
                    <xdr:rowOff>47625</xdr:rowOff>
                  </to>
                </anchor>
              </controlPr>
            </control>
          </mc:Choice>
        </mc:AlternateContent>
        <mc:AlternateContent xmlns:mc="http://schemas.openxmlformats.org/markup-compatibility/2006">
          <mc:Choice Requires="x14">
            <control shapeId="58363" r:id="rId12" name="Button 1019">
              <controlPr defaultSize="0" print="0" autoFill="0" autoPict="0" macro="[0]!btnSaveAsPdf_OnClick">
                <anchor moveWithCells="1" sizeWithCells="1">
                  <from>
                    <xdr:col>3</xdr:col>
                    <xdr:colOff>0</xdr:colOff>
                    <xdr:row>53</xdr:row>
                    <xdr:rowOff>9525</xdr:rowOff>
                  </from>
                  <to>
                    <xdr:col>4</xdr:col>
                    <xdr:colOff>66675</xdr:colOff>
                    <xdr:row>55</xdr:row>
                    <xdr:rowOff>47625</xdr:rowOff>
                  </to>
                </anchor>
              </controlPr>
            </control>
          </mc:Choice>
        </mc:AlternateContent>
        <mc:AlternateContent xmlns:mc="http://schemas.openxmlformats.org/markup-compatibility/2006">
          <mc:Choice Requires="x14">
            <control shapeId="58364" r:id="rId13" name="Button 1020">
              <controlPr defaultSize="0" print="0" autoFill="0" autoPict="0" macro="[0]!btnQuickSaveAsPdf_OnClick">
                <anchor moveWithCells="1" sizeWithCells="1">
                  <from>
                    <xdr:col>4</xdr:col>
                    <xdr:colOff>133350</xdr:colOff>
                    <xdr:row>53</xdr:row>
                    <xdr:rowOff>9525</xdr:rowOff>
                  </from>
                  <to>
                    <xdr:col>5</xdr:col>
                    <xdr:colOff>590550</xdr:colOff>
                    <xdr:row>55</xdr:row>
                    <xdr:rowOff>47625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2:C45"/>
  <sheetViews>
    <sheetView zoomScale="125" zoomScaleNormal="125" zoomScalePageLayoutView="125" workbookViewId="0">
      <selection activeCell="C22" sqref="C22"/>
    </sheetView>
  </sheetViews>
  <sheetFormatPr defaultColWidth="10.875" defaultRowHeight="15"/>
  <cols>
    <col min="1" max="1" width="16.5" style="196" customWidth="1"/>
    <col min="2" max="2" width="21.125" style="196" customWidth="1"/>
    <col min="3" max="3" width="19" style="196" customWidth="1"/>
    <col min="4" max="16384" width="10.875" style="196"/>
  </cols>
  <sheetData>
    <row r="2" spans="1:3">
      <c r="A2" s="197"/>
      <c r="B2" s="198" t="str">
        <f>RIGHT(CALCS!B4,LEN(CALCS!B4)-1)</f>
        <v>XI_IXF</v>
      </c>
      <c r="C2" s="199" t="str">
        <f>RIGHT(CALCS!C4,LEN(CALCS!C4)-1)</f>
        <v>F6_ALG</v>
      </c>
    </row>
    <row r="3" spans="1:3">
      <c r="A3" s="197" t="s">
        <v>290</v>
      </c>
      <c r="B3" s="200">
        <f>T_NAV!N11</f>
        <v>0</v>
      </c>
      <c r="C3" s="200">
        <f>T_NAV!AD11</f>
        <v>0</v>
      </c>
    </row>
    <row r="4" spans="1:3">
      <c r="A4" s="197" t="s">
        <v>230</v>
      </c>
      <c r="B4" s="197"/>
      <c r="C4" s="197"/>
    </row>
    <row r="5" spans="1:3">
      <c r="A5" s="197"/>
      <c r="B5" s="200"/>
      <c r="C5" s="200"/>
    </row>
    <row r="6" spans="1:3">
      <c r="A6" s="197" t="s">
        <v>90</v>
      </c>
      <c r="B6" s="197">
        <f>COUNT(CALCS!$B$5:$B$300)</f>
        <v>50</v>
      </c>
      <c r="C6" s="197">
        <f>COUNT(CALCS!$B$5:$B$300)</f>
        <v>50</v>
      </c>
    </row>
    <row r="7" spans="1:3">
      <c r="A7" s="197" t="s">
        <v>89</v>
      </c>
      <c r="B7" s="197">
        <f>COUNTIF(CALCS!B5:B300,"&gt;=0")</f>
        <v>50</v>
      </c>
      <c r="C7" s="197">
        <f>COUNTIF(CALCS!C5:C300,"&gt;=0")</f>
        <v>50</v>
      </c>
    </row>
    <row r="8" spans="1:3">
      <c r="A8" s="197" t="s">
        <v>91</v>
      </c>
      <c r="B8" s="200">
        <f>B7/C6</f>
        <v>1</v>
      </c>
      <c r="C8" s="200">
        <f>C7/C6</f>
        <v>1</v>
      </c>
    </row>
    <row r="9" spans="1:3">
      <c r="A9" s="197" t="s">
        <v>307</v>
      </c>
      <c r="B9" s="201">
        <f>B6-B7</f>
        <v>0</v>
      </c>
      <c r="C9" s="201">
        <f>C6-C7</f>
        <v>0</v>
      </c>
    </row>
    <row r="10" spans="1:3">
      <c r="A10" s="197" t="s">
        <v>308</v>
      </c>
      <c r="B10" s="202">
        <f>1-B8</f>
        <v>0</v>
      </c>
      <c r="C10" s="202">
        <f>1-C8</f>
        <v>0</v>
      </c>
    </row>
    <row r="11" spans="1:3">
      <c r="A11" s="197"/>
      <c r="B11" s="197"/>
      <c r="C11" s="197"/>
    </row>
    <row r="12" spans="1:3">
      <c r="A12" s="197" t="s">
        <v>93</v>
      </c>
      <c r="B12" s="200">
        <f>MAX(CALCS!B5:B300)</f>
        <v>0.20580000000000001</v>
      </c>
      <c r="C12" s="200">
        <f>MAX(CALCS!C5:C300)</f>
        <v>0.12690000000000001</v>
      </c>
    </row>
    <row r="13" spans="1:3">
      <c r="A13" s="197" t="s">
        <v>92</v>
      </c>
      <c r="B13" s="200">
        <f>MIN(CALCS!B5:B300)</f>
        <v>5.9999999999999995E-4</v>
      </c>
      <c r="C13" s="200">
        <f>MIN(CALCS!C5:C300)</f>
        <v>1.5E-3</v>
      </c>
    </row>
    <row r="14" spans="1:3">
      <c r="A14" s="197"/>
      <c r="B14" s="200"/>
      <c r="C14" s="200"/>
    </row>
    <row r="15" spans="1:3">
      <c r="A15" s="197" t="s">
        <v>288</v>
      </c>
      <c r="B15" s="200">
        <f ca="1">CALCS!AI2</f>
        <v>-0.56032954426947545</v>
      </c>
      <c r="C15" s="200">
        <f ca="1">CALCS!AN2</f>
        <v>-0.32375747267315336</v>
      </c>
    </row>
    <row r="16" spans="1:3">
      <c r="A16" s="197" t="s">
        <v>289</v>
      </c>
      <c r="B16" s="197">
        <f>CALCS!AH2</f>
        <v>41</v>
      </c>
      <c r="C16" s="197">
        <f>CALCS!AM2</f>
        <v>32</v>
      </c>
    </row>
    <row r="17" spans="1:3">
      <c r="A17" s="197"/>
      <c r="B17" s="197"/>
      <c r="C17" s="197"/>
    </row>
    <row r="18" spans="1:3">
      <c r="A18" s="197" t="s">
        <v>305</v>
      </c>
      <c r="B18" s="202">
        <f>SUMIF(CALCS!B$5:B$300,"&gt;0",CALCS!B$5:B$300)</f>
        <v>2.4098999999999999</v>
      </c>
      <c r="C18" s="202">
        <f>SUMIF(CALCS!C$5:C$300,"&gt;0",CALCS!C$5:C$300)</f>
        <v>2.1906999999999996</v>
      </c>
    </row>
    <row r="19" spans="1:3">
      <c r="A19" s="197" t="s">
        <v>306</v>
      </c>
      <c r="B19" s="202">
        <f>SUMIF(CALCS!B$5:B$300,"&lt;0",CALCS!B$5:B$300)</f>
        <v>0</v>
      </c>
      <c r="C19" s="202">
        <f>SUMIF(CALCS!C$5:C$300,"&lt;0",CALCS!C$5:C$300)</f>
        <v>0</v>
      </c>
    </row>
    <row r="20" spans="1:3">
      <c r="A20" s="197"/>
      <c r="B20" s="197"/>
      <c r="C20" s="197"/>
    </row>
    <row r="21" spans="1:3">
      <c r="A21" s="197" t="s">
        <v>309</v>
      </c>
      <c r="B21" s="202">
        <f>B18/B7</f>
        <v>4.8197999999999998E-2</v>
      </c>
      <c r="C21" s="202">
        <f>C18/C7</f>
        <v>4.3813999999999992E-2</v>
      </c>
    </row>
    <row r="22" spans="1:3">
      <c r="A22" s="197" t="s">
        <v>310</v>
      </c>
      <c r="B22" s="202" t="e">
        <f>B19/B9</f>
        <v>#DIV/0!</v>
      </c>
      <c r="C22" s="202" t="e">
        <f>C19/C9</f>
        <v>#DIV/0!</v>
      </c>
    </row>
    <row r="23" spans="1:3">
      <c r="A23" s="197"/>
      <c r="B23" s="197"/>
      <c r="C23" s="197"/>
    </row>
    <row r="24" spans="1:3">
      <c r="A24" s="197"/>
      <c r="B24" s="197"/>
      <c r="C24" s="197"/>
    </row>
    <row r="25" spans="1:3">
      <c r="A25" s="197"/>
      <c r="B25" s="197"/>
      <c r="C25" s="197"/>
    </row>
    <row r="26" spans="1:3">
      <c r="A26" s="197"/>
      <c r="B26" s="197"/>
      <c r="C26" s="197"/>
    </row>
    <row r="27" spans="1:3">
      <c r="A27" s="197" t="s">
        <v>74</v>
      </c>
      <c r="B27" s="203">
        <f>SUM(C_UpM!B4:B300)</f>
        <v>0</v>
      </c>
      <c r="C27" s="203">
        <f>SUM(C_UpM!C4:C300)</f>
        <v>0</v>
      </c>
    </row>
    <row r="28" spans="1:3">
      <c r="A28" s="197" t="s">
        <v>75</v>
      </c>
      <c r="B28" s="204">
        <f>B19</f>
        <v>0</v>
      </c>
      <c r="C28" s="204">
        <f>SUM(C_DownM!C4:C300)</f>
        <v>0</v>
      </c>
    </row>
    <row r="29" spans="1:3">
      <c r="A29" s="197"/>
      <c r="B29" s="197"/>
      <c r="C29" s="197"/>
    </row>
    <row r="30" spans="1:3">
      <c r="A30" s="197"/>
      <c r="B30" s="197"/>
      <c r="C30" s="197"/>
    </row>
    <row r="31" spans="1:3">
      <c r="A31" s="197" t="s">
        <v>73</v>
      </c>
      <c r="B31" s="202" t="e">
        <f>B28/$B$9</f>
        <v>#DIV/0!</v>
      </c>
      <c r="C31" s="202" t="e">
        <f>C28/$B$9</f>
        <v>#DIV/0!</v>
      </c>
    </row>
    <row r="32" spans="1:3">
      <c r="A32" s="197" t="s">
        <v>72</v>
      </c>
      <c r="B32" s="202">
        <f>B27/$B$7</f>
        <v>0</v>
      </c>
      <c r="C32" s="202">
        <f>C27/$B$7</f>
        <v>0</v>
      </c>
    </row>
    <row r="33" spans="1:3">
      <c r="A33" s="197"/>
      <c r="B33" s="197"/>
      <c r="C33" s="197"/>
    </row>
    <row r="34" spans="1:3">
      <c r="A34" s="197" t="s">
        <v>87</v>
      </c>
      <c r="B34" s="197" t="s">
        <v>0</v>
      </c>
      <c r="C34" s="197" t="s">
        <v>304</v>
      </c>
    </row>
    <row r="35" spans="1:3">
      <c r="A35" s="197">
        <v>2</v>
      </c>
      <c r="B35" s="197" t="str">
        <f t="array" ref="B35:B45">TRANSPOSE(SH_StrategyAllocs!B1:K1)</f>
        <v>HedgeEquity</v>
      </c>
      <c r="C35" s="202">
        <f>VLOOKUP(Reprt_1!$H$1,SH_StrategyAllocs!$A$2:$K$75,A35,)</f>
        <v>1</v>
      </c>
    </row>
    <row r="36" spans="1:3">
      <c r="A36" s="197">
        <v>3</v>
      </c>
      <c r="B36" s="197" t="str">
        <v>MergerArbitrage</v>
      </c>
      <c r="C36" s="202">
        <f>VLOOKUP(Reprt_1!$H$1,SH_StrategyAllocs!$A$2:$K$75,A36,)</f>
        <v>0</v>
      </c>
    </row>
    <row r="37" spans="1:3">
      <c r="A37" s="197">
        <v>4</v>
      </c>
      <c r="B37" s="197" t="str">
        <v>CTA_ManagedFutures</v>
      </c>
      <c r="C37" s="202">
        <f>VLOOKUP(Reprt_1!$H$1,SH_StrategyAllocs!$A$2:$K$75,A37,)</f>
        <v>0</v>
      </c>
    </row>
    <row r="38" spans="1:3">
      <c r="A38" s="197">
        <v>5</v>
      </c>
      <c r="B38" s="197" t="str">
        <v>ConvertibleArbitrage</v>
      </c>
      <c r="C38" s="202">
        <f>VLOOKUP(Reprt_1!$H$1,SH_StrategyAllocs!$A$2:$K$75,A38,)</f>
        <v>0</v>
      </c>
    </row>
    <row r="39" spans="1:3">
      <c r="A39" s="197">
        <v>6</v>
      </c>
      <c r="B39" s="197" t="str">
        <v>DistressedSecurities</v>
      </c>
      <c r="C39" s="202">
        <f>VLOOKUP(Reprt_1!$H$1,SH_StrategyAllocs!$A$2:$K$75,A39,)</f>
        <v>0</v>
      </c>
    </row>
    <row r="40" spans="1:3">
      <c r="A40" s="197">
        <v>7</v>
      </c>
      <c r="B40" s="197" t="str">
        <v>FixedIncomeArbitrage</v>
      </c>
      <c r="C40" s="202">
        <f>VLOOKUP(Reprt_1!$H$1,SH_StrategyAllocs!$A$2:$K$75,A40,)</f>
        <v>0</v>
      </c>
    </row>
    <row r="41" spans="1:3">
      <c r="A41" s="197">
        <v>8</v>
      </c>
      <c r="B41" s="197" t="str">
        <v>Macro</v>
      </c>
      <c r="C41" s="202">
        <f>VLOOKUP(Reprt_1!$H$1,SH_StrategyAllocs!$A$2:$K$75,A41,)</f>
        <v>0</v>
      </c>
    </row>
    <row r="42" spans="1:3">
      <c r="A42" s="197">
        <v>9</v>
      </c>
      <c r="B42" s="197" t="str">
        <v>EventDriven</v>
      </c>
      <c r="C42" s="202">
        <f>VLOOKUP(Reprt_1!$H$1,SH_StrategyAllocs!$A$2:$K$75,A42,)</f>
        <v>0</v>
      </c>
    </row>
    <row r="43" spans="1:3">
      <c r="A43" s="197">
        <v>10</v>
      </c>
      <c r="B43" s="197" t="str">
        <v>RelativeValue</v>
      </c>
      <c r="C43" s="202">
        <f>VLOOKUP(Reprt_1!$H$1,SH_StrategyAllocs!$A$2:$K$75,A43,)</f>
        <v>0</v>
      </c>
    </row>
    <row r="44" spans="1:3">
      <c r="A44" s="197">
        <v>11</v>
      </c>
      <c r="B44" s="197" t="str">
        <v>OtherValue</v>
      </c>
      <c r="C44" s="202">
        <f>VLOOKUP(Reprt_1!$H$1,SH_StrategyAllocs!$A$2:$K$75,A44,)</f>
        <v>0</v>
      </c>
    </row>
    <row r="45" spans="1:3">
      <c r="A45" s="197"/>
      <c r="B45" s="197" t="e">
        <v>#N/A</v>
      </c>
      <c r="C45" s="202"/>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T73"/>
  <sheetViews>
    <sheetView workbookViewId="0">
      <selection activeCell="C22" sqref="C22"/>
    </sheetView>
  </sheetViews>
  <sheetFormatPr defaultColWidth="10.625" defaultRowHeight="15"/>
  <cols>
    <col min="1" max="1" width="32.375" style="124" bestFit="1" customWidth="1"/>
    <col min="2" max="2" width="17.125" style="124" customWidth="1"/>
    <col min="3" max="3" width="32.875" style="124" bestFit="1" customWidth="1"/>
    <col min="4" max="4" width="26.375" style="124" customWidth="1"/>
    <col min="5" max="5" width="23.875" style="124" customWidth="1"/>
    <col min="6" max="6" width="23.375" style="124" customWidth="1"/>
    <col min="7" max="7" width="82.625" style="124" bestFit="1" customWidth="1"/>
    <col min="8" max="9" width="23.375" style="124" customWidth="1"/>
    <col min="10" max="10" width="29" style="124" customWidth="1"/>
    <col min="11" max="11" width="14.625" style="124" customWidth="1"/>
    <col min="12" max="12" width="25.375" style="125" bestFit="1" customWidth="1"/>
    <col min="13" max="13" width="8.375" style="124" bestFit="1" customWidth="1"/>
    <col min="14" max="18" width="10.625" style="124"/>
    <col min="19" max="19" width="37.625" style="124" bestFit="1" customWidth="1"/>
    <col min="20" max="16384" width="10.625" style="124"/>
  </cols>
  <sheetData>
    <row r="1" spans="1:20" ht="39.75" customHeight="1">
      <c r="A1" s="122" t="s">
        <v>214</v>
      </c>
      <c r="B1" s="123" t="s">
        <v>142</v>
      </c>
      <c r="C1" s="122"/>
    </row>
    <row r="2" spans="1:20">
      <c r="A2" s="126" t="s">
        <v>215</v>
      </c>
      <c r="H2" s="126" t="s">
        <v>68</v>
      </c>
      <c r="I2" s="126"/>
      <c r="J2" s="126" t="s">
        <v>30</v>
      </c>
      <c r="K2" s="126"/>
    </row>
    <row r="3" spans="1:20" ht="15.4">
      <c r="A3" s="126" t="s">
        <v>216</v>
      </c>
      <c r="B3" s="126" t="s">
        <v>217</v>
      </c>
      <c r="C3" s="126" t="s">
        <v>218</v>
      </c>
      <c r="E3" s="152" t="s">
        <v>47</v>
      </c>
      <c r="F3" s="127">
        <v>4</v>
      </c>
      <c r="H3" s="124" t="s">
        <v>70</v>
      </c>
      <c r="I3" s="124" t="s">
        <v>29</v>
      </c>
      <c r="J3" s="124" t="s">
        <v>31</v>
      </c>
      <c r="K3" s="124" t="s">
        <v>33</v>
      </c>
      <c r="L3" s="125" t="s">
        <v>296</v>
      </c>
      <c r="M3" s="124" t="s">
        <v>327</v>
      </c>
    </row>
    <row r="4" spans="1:20" ht="15.4">
      <c r="A4" s="124" t="s">
        <v>48</v>
      </c>
      <c r="B4" s="127">
        <v>2</v>
      </c>
      <c r="C4" s="168">
        <v>1</v>
      </c>
      <c r="E4" s="152" t="s">
        <v>49</v>
      </c>
      <c r="F4" s="127">
        <v>4</v>
      </c>
      <c r="H4" s="124" t="s">
        <v>71</v>
      </c>
      <c r="I4" s="124" t="s">
        <v>8</v>
      </c>
      <c r="J4" s="124" t="s">
        <v>35</v>
      </c>
      <c r="K4" s="124" t="s">
        <v>36</v>
      </c>
      <c r="L4" s="125" t="s">
        <v>297</v>
      </c>
      <c r="M4" s="124" t="s">
        <v>298</v>
      </c>
    </row>
    <row r="5" spans="1:20">
      <c r="A5" s="124" t="s">
        <v>50</v>
      </c>
      <c r="B5" s="127">
        <v>1</v>
      </c>
      <c r="C5" s="168">
        <v>2</v>
      </c>
      <c r="J5" s="124" t="s">
        <v>32</v>
      </c>
      <c r="K5" s="124" t="s">
        <v>34</v>
      </c>
    </row>
    <row r="6" spans="1:20">
      <c r="A6" s="124" t="s">
        <v>51</v>
      </c>
      <c r="B6" s="127">
        <v>3</v>
      </c>
      <c r="C6" s="168">
        <v>3</v>
      </c>
    </row>
    <row r="7" spans="1:20">
      <c r="A7" s="124" t="s">
        <v>52</v>
      </c>
      <c r="B7" s="127">
        <v>4</v>
      </c>
      <c r="C7" s="168">
        <v>4</v>
      </c>
    </row>
    <row r="9" spans="1:20">
      <c r="S9" s="209" t="s">
        <v>317</v>
      </c>
    </row>
    <row r="10" spans="1:20">
      <c r="A10" s="126" t="s">
        <v>53</v>
      </c>
      <c r="S10" s="124" t="s">
        <v>328</v>
      </c>
      <c r="T10" s="124" t="s">
        <v>29</v>
      </c>
    </row>
    <row r="11" spans="1:20" ht="15.4" thickBot="1">
      <c r="A11" s="128"/>
      <c r="B11" s="129" t="s">
        <v>117</v>
      </c>
      <c r="S11" s="124" t="s">
        <v>329</v>
      </c>
      <c r="T11" s="124" t="s">
        <v>29</v>
      </c>
    </row>
    <row r="12" spans="1:20" ht="15.75" thickTop="1" thickBot="1">
      <c r="A12" s="130" t="s">
        <v>257</v>
      </c>
      <c r="B12" s="175">
        <f>E14</f>
        <v>2.5000000000000001E-2</v>
      </c>
      <c r="D12" s="124" t="s">
        <v>64</v>
      </c>
      <c r="E12" s="194">
        <f>MAX(CALCS!$C$5:$C$400)</f>
        <v>0.12690000000000001</v>
      </c>
      <c r="S12" s="124" t="s">
        <v>456</v>
      </c>
      <c r="T12" s="124" t="s">
        <v>29</v>
      </c>
    </row>
    <row r="13" spans="1:20" ht="15.4" thickTop="1">
      <c r="A13" s="131" t="s">
        <v>260</v>
      </c>
      <c r="B13" s="132">
        <v>0</v>
      </c>
      <c r="D13" s="124" t="s">
        <v>65</v>
      </c>
      <c r="E13" s="194">
        <f>MIN(CALCS!$C$5:$C$400)</f>
        <v>1.5E-3</v>
      </c>
      <c r="S13" s="124" t="s">
        <v>457</v>
      </c>
      <c r="T13" s="124" t="s">
        <v>29</v>
      </c>
    </row>
    <row r="14" spans="1:20">
      <c r="A14" s="133" t="s">
        <v>261</v>
      </c>
      <c r="B14" s="134">
        <v>0</v>
      </c>
      <c r="D14" s="124" t="s">
        <v>66</v>
      </c>
      <c r="E14" s="195">
        <f>IF(E12&lt;0.1,0.02,IF(E12&lt;0.2,0.025,IF(E12&lt;0.4,0.05,0.05)))</f>
        <v>2.5000000000000001E-2</v>
      </c>
    </row>
    <row r="15" spans="1:20">
      <c r="A15" s="130" t="s">
        <v>262</v>
      </c>
      <c r="B15" s="206">
        <v>7</v>
      </c>
    </row>
    <row r="16" spans="1:20">
      <c r="A16" s="130" t="s">
        <v>263</v>
      </c>
      <c r="B16" s="207">
        <v>22</v>
      </c>
    </row>
    <row r="17" spans="1:15">
      <c r="A17" s="135"/>
      <c r="L17" s="124"/>
    </row>
    <row r="18" spans="1:15">
      <c r="L18" s="124"/>
    </row>
    <row r="19" spans="1:15">
      <c r="L19" s="124"/>
    </row>
    <row r="20" spans="1:15">
      <c r="A20" s="126" t="s">
        <v>54</v>
      </c>
      <c r="L20" s="124"/>
    </row>
    <row r="21" spans="1:15" ht="15.4" thickBot="1">
      <c r="A21" s="124" t="s">
        <v>55</v>
      </c>
      <c r="B21" s="136">
        <v>3</v>
      </c>
      <c r="E21" s="125" t="s">
        <v>56</v>
      </c>
      <c r="F21" s="127">
        <v>42</v>
      </c>
      <c r="L21" s="124"/>
    </row>
    <row r="22" spans="1:15" ht="15.4" thickTop="1">
      <c r="A22" s="124" t="s">
        <v>11</v>
      </c>
      <c r="B22" s="136">
        <v>4</v>
      </c>
      <c r="E22" s="174" t="s">
        <v>193</v>
      </c>
      <c r="F22" s="172">
        <v>12</v>
      </c>
      <c r="L22" s="124"/>
    </row>
    <row r="23" spans="1:15" ht="15.4" thickBot="1">
      <c r="A23" s="124" t="s">
        <v>12</v>
      </c>
      <c r="B23" s="136">
        <v>2</v>
      </c>
      <c r="E23" s="174" t="s">
        <v>194</v>
      </c>
      <c r="F23" s="173">
        <v>12</v>
      </c>
      <c r="L23" s="124"/>
    </row>
    <row r="24" spans="1:15" ht="15.4" thickTop="1">
      <c r="A24" s="124" t="s">
        <v>13</v>
      </c>
      <c r="B24" s="136">
        <v>5</v>
      </c>
      <c r="L24" s="124"/>
    </row>
    <row r="25" spans="1:15">
      <c r="B25" s="137"/>
      <c r="L25" s="124"/>
    </row>
    <row r="26" spans="1:15">
      <c r="L26" s="124"/>
    </row>
    <row r="27" spans="1:15">
      <c r="L27" s="124"/>
    </row>
    <row r="28" spans="1:15">
      <c r="B28" s="137"/>
      <c r="L28" s="124"/>
    </row>
    <row r="29" spans="1:15">
      <c r="A29" s="126" t="s">
        <v>14</v>
      </c>
      <c r="L29" s="124"/>
    </row>
    <row r="30" spans="1:15" s="138" customFormat="1">
      <c r="A30" s="162" t="s">
        <v>15</v>
      </c>
      <c r="B30" s="162" t="s">
        <v>15</v>
      </c>
      <c r="C30" s="162" t="s">
        <v>16</v>
      </c>
      <c r="D30" s="163" t="s">
        <v>153</v>
      </c>
      <c r="E30" s="164" t="s">
        <v>17</v>
      </c>
      <c r="F30" s="164" t="s">
        <v>18</v>
      </c>
      <c r="G30" s="162" t="s">
        <v>19</v>
      </c>
      <c r="H30" s="162" t="s">
        <v>20</v>
      </c>
      <c r="I30" s="162" t="s">
        <v>21</v>
      </c>
      <c r="J30" s="162" t="s">
        <v>22</v>
      </c>
      <c r="K30" s="162" t="s">
        <v>23</v>
      </c>
      <c r="L30" s="162" t="s">
        <v>140</v>
      </c>
      <c r="M30" s="162" t="s">
        <v>37</v>
      </c>
      <c r="O30" s="124"/>
    </row>
    <row r="31" spans="1:15">
      <c r="A31" s="139">
        <v>1</v>
      </c>
      <c r="B31" s="139" t="str">
        <f>NUMBER2CHAR(A31)</f>
        <v>A</v>
      </c>
      <c r="C31" s="153"/>
      <c r="D31" s="159" t="s">
        <v>24</v>
      </c>
      <c r="E31" s="140"/>
      <c r="F31" s="140"/>
      <c r="G31" s="127"/>
      <c r="H31" s="127"/>
      <c r="I31" s="127"/>
      <c r="J31" s="127" t="s">
        <v>158</v>
      </c>
      <c r="K31" s="169" t="s">
        <v>279</v>
      </c>
      <c r="L31" s="140" t="s">
        <v>141</v>
      </c>
      <c r="M31" s="140"/>
    </row>
    <row r="32" spans="1:15">
      <c r="A32" s="139">
        <v>2</v>
      </c>
      <c r="B32" s="139" t="str">
        <f t="shared" ref="B32:B72" si="0">NUMBER2CHAR(A32)</f>
        <v>B</v>
      </c>
      <c r="C32" s="168" t="s">
        <v>268</v>
      </c>
      <c r="D32" s="159" t="s">
        <v>154</v>
      </c>
      <c r="E32" s="140"/>
      <c r="F32" s="140"/>
      <c r="G32" s="127"/>
      <c r="H32" s="127"/>
      <c r="I32" s="127"/>
      <c r="J32" s="127" t="s">
        <v>280</v>
      </c>
      <c r="K32" s="169"/>
      <c r="L32" s="140" t="s">
        <v>231</v>
      </c>
      <c r="M32" s="140"/>
    </row>
    <row r="33" spans="1:13">
      <c r="A33" s="139">
        <v>3</v>
      </c>
      <c r="B33" s="139" t="str">
        <f t="shared" si="0"/>
        <v>C</v>
      </c>
      <c r="C33" s="153"/>
      <c r="D33" s="159" t="s">
        <v>155</v>
      </c>
      <c r="E33" s="140"/>
      <c r="F33" s="140"/>
      <c r="G33" s="127"/>
      <c r="H33" s="127"/>
      <c r="I33" s="127"/>
      <c r="J33" s="127" t="s">
        <v>280</v>
      </c>
      <c r="K33" s="169"/>
      <c r="L33" s="140" t="s">
        <v>231</v>
      </c>
      <c r="M33" s="140"/>
    </row>
    <row r="34" spans="1:13">
      <c r="A34" s="139">
        <v>4</v>
      </c>
      <c r="B34" s="139" t="str">
        <f t="shared" si="0"/>
        <v>D</v>
      </c>
      <c r="C34" s="153"/>
      <c r="D34" s="159" t="s">
        <v>156</v>
      </c>
      <c r="E34" s="140"/>
      <c r="F34" s="140"/>
      <c r="G34" s="127"/>
      <c r="H34" s="127"/>
      <c r="I34" s="127"/>
      <c r="J34" s="127" t="s">
        <v>280</v>
      </c>
      <c r="K34" s="169"/>
      <c r="L34" s="140" t="s">
        <v>231</v>
      </c>
      <c r="M34" s="140"/>
    </row>
    <row r="35" spans="1:13">
      <c r="A35" s="155">
        <v>5</v>
      </c>
      <c r="B35" s="155" t="str">
        <f>NUMBER2CHAR(A35)</f>
        <v>E</v>
      </c>
      <c r="C35" s="156"/>
      <c r="D35" s="160" t="s">
        <v>157</v>
      </c>
      <c r="E35" s="158"/>
      <c r="F35" s="158"/>
      <c r="G35" s="157"/>
      <c r="H35" s="157"/>
      <c r="I35" s="157"/>
      <c r="J35" s="157" t="s">
        <v>280</v>
      </c>
      <c r="K35" s="170"/>
      <c r="L35" s="158" t="s">
        <v>231</v>
      </c>
      <c r="M35" s="158"/>
    </row>
    <row r="36" spans="1:13">
      <c r="A36" s="139">
        <v>6</v>
      </c>
      <c r="B36" s="139" t="str">
        <f>NUMBER2CHAR(A36)</f>
        <v>F</v>
      </c>
      <c r="C36" s="168" t="s">
        <v>270</v>
      </c>
      <c r="D36" s="159" t="s">
        <v>154</v>
      </c>
      <c r="E36" s="140"/>
      <c r="F36" s="140"/>
      <c r="G36" s="127"/>
      <c r="H36" s="127"/>
      <c r="I36" s="127"/>
      <c r="J36" s="127" t="s">
        <v>281</v>
      </c>
      <c r="K36" s="169"/>
      <c r="L36" s="140" t="s">
        <v>232</v>
      </c>
      <c r="M36" s="140"/>
    </row>
    <row r="37" spans="1:13">
      <c r="A37" s="139">
        <v>7</v>
      </c>
      <c r="B37" s="139" t="str">
        <f>NUMBER2CHAR(A37)</f>
        <v>G</v>
      </c>
      <c r="C37" s="153"/>
      <c r="D37" s="159" t="s">
        <v>155</v>
      </c>
      <c r="E37" s="140"/>
      <c r="F37" s="140"/>
      <c r="G37" s="127"/>
      <c r="H37" s="127"/>
      <c r="I37" s="127"/>
      <c r="J37" s="127" t="s">
        <v>281</v>
      </c>
      <c r="K37" s="169"/>
      <c r="L37" s="140" t="s">
        <v>232</v>
      </c>
      <c r="M37" s="140"/>
    </row>
    <row r="38" spans="1:13">
      <c r="A38" s="139">
        <v>8</v>
      </c>
      <c r="B38" s="139" t="str">
        <f t="shared" si="0"/>
        <v>H</v>
      </c>
      <c r="C38" s="153"/>
      <c r="D38" s="159" t="s">
        <v>156</v>
      </c>
      <c r="E38" s="140"/>
      <c r="F38" s="140"/>
      <c r="G38" s="127"/>
      <c r="H38" s="127"/>
      <c r="I38" s="127"/>
      <c r="J38" s="127" t="s">
        <v>281</v>
      </c>
      <c r="K38" s="169"/>
      <c r="L38" s="140" t="s">
        <v>232</v>
      </c>
      <c r="M38" s="140"/>
    </row>
    <row r="39" spans="1:13">
      <c r="A39" s="155">
        <v>9</v>
      </c>
      <c r="B39" s="155" t="str">
        <f t="shared" si="0"/>
        <v>I</v>
      </c>
      <c r="C39" s="156"/>
      <c r="D39" s="160" t="s">
        <v>157</v>
      </c>
      <c r="E39" s="158"/>
      <c r="F39" s="158"/>
      <c r="G39" s="157"/>
      <c r="H39" s="157"/>
      <c r="I39" s="157"/>
      <c r="J39" s="157" t="s">
        <v>281</v>
      </c>
      <c r="K39" s="170"/>
      <c r="L39" s="158" t="s">
        <v>232</v>
      </c>
      <c r="M39" s="158"/>
    </row>
    <row r="40" spans="1:13">
      <c r="A40" s="139">
        <v>10</v>
      </c>
      <c r="B40" s="139" t="str">
        <f t="shared" si="0"/>
        <v>J</v>
      </c>
      <c r="C40" s="168" t="s">
        <v>271</v>
      </c>
      <c r="D40" s="159" t="s">
        <v>125</v>
      </c>
      <c r="E40" s="140"/>
      <c r="F40" s="140"/>
      <c r="G40" s="127"/>
      <c r="H40" s="127"/>
      <c r="I40" s="127"/>
      <c r="J40" s="127" t="s">
        <v>283</v>
      </c>
      <c r="K40" s="169"/>
      <c r="L40" s="140" t="s">
        <v>231</v>
      </c>
      <c r="M40" s="140"/>
    </row>
    <row r="41" spans="1:13">
      <c r="A41" s="139">
        <v>11</v>
      </c>
      <c r="B41" s="139" t="str">
        <f t="shared" si="0"/>
        <v>K</v>
      </c>
      <c r="C41" s="153"/>
      <c r="D41" s="159" t="s">
        <v>126</v>
      </c>
      <c r="E41" s="140"/>
      <c r="F41" s="140"/>
      <c r="G41" s="127"/>
      <c r="H41" s="127"/>
      <c r="I41" s="127"/>
      <c r="J41" s="127" t="s">
        <v>282</v>
      </c>
      <c r="K41" s="169"/>
      <c r="L41" s="140" t="s">
        <v>231</v>
      </c>
      <c r="M41" s="140"/>
    </row>
    <row r="42" spans="1:13">
      <c r="A42" s="139">
        <v>12</v>
      </c>
      <c r="B42" s="139" t="str">
        <f t="shared" si="0"/>
        <v>L</v>
      </c>
      <c r="C42" s="153"/>
      <c r="D42" s="159" t="s">
        <v>127</v>
      </c>
      <c r="E42" s="140"/>
      <c r="F42" s="140" t="s">
        <v>192</v>
      </c>
      <c r="G42" s="127"/>
      <c r="H42" s="127"/>
      <c r="I42" s="127"/>
      <c r="J42" s="127"/>
      <c r="K42" s="171" t="s">
        <v>278</v>
      </c>
      <c r="L42" s="140" t="s">
        <v>231</v>
      </c>
      <c r="M42" s="140"/>
    </row>
    <row r="43" spans="1:13">
      <c r="A43" s="139">
        <v>13</v>
      </c>
      <c r="B43" s="139" t="str">
        <f t="shared" si="0"/>
        <v>M</v>
      </c>
      <c r="C43" s="153"/>
      <c r="D43" s="159" t="s">
        <v>128</v>
      </c>
      <c r="E43" s="140"/>
      <c r="F43" s="140" t="s">
        <v>159</v>
      </c>
      <c r="G43" s="127"/>
      <c r="H43" s="127"/>
      <c r="I43" s="127"/>
      <c r="J43" s="127"/>
      <c r="K43" s="169" t="s">
        <v>284</v>
      </c>
      <c r="L43" s="140" t="s">
        <v>231</v>
      </c>
      <c r="M43" s="140"/>
    </row>
    <row r="44" spans="1:13">
      <c r="A44" s="139">
        <v>14</v>
      </c>
      <c r="B44" s="139" t="str">
        <f t="shared" si="0"/>
        <v>N</v>
      </c>
      <c r="C44" s="153"/>
      <c r="D44" s="159" t="s">
        <v>129</v>
      </c>
      <c r="E44" s="140"/>
      <c r="F44" s="140" t="s">
        <v>160</v>
      </c>
      <c r="G44" s="127"/>
      <c r="H44" s="127"/>
      <c r="I44" s="127"/>
      <c r="J44" s="127"/>
      <c r="K44" s="169" t="s">
        <v>285</v>
      </c>
      <c r="L44" s="140" t="s">
        <v>231</v>
      </c>
      <c r="M44" s="140"/>
    </row>
    <row r="45" spans="1:13">
      <c r="A45" s="139">
        <v>15</v>
      </c>
      <c r="B45" s="139" t="str">
        <f t="shared" si="0"/>
        <v>O</v>
      </c>
      <c r="C45" s="168" t="s">
        <v>175</v>
      </c>
      <c r="D45" s="159" t="s">
        <v>154</v>
      </c>
      <c r="E45" s="140"/>
      <c r="F45" s="140"/>
      <c r="G45" s="140" t="s">
        <v>161</v>
      </c>
      <c r="H45" s="127"/>
      <c r="I45" s="127"/>
      <c r="J45" s="127"/>
      <c r="K45" s="169" t="s">
        <v>57</v>
      </c>
      <c r="L45" s="140" t="s">
        <v>231</v>
      </c>
      <c r="M45" s="140"/>
    </row>
    <row r="46" spans="1:13">
      <c r="A46" s="139">
        <v>16</v>
      </c>
      <c r="B46" s="139" t="str">
        <f t="shared" si="0"/>
        <v>P</v>
      </c>
      <c r="C46" s="153"/>
      <c r="D46" s="159" t="s">
        <v>155</v>
      </c>
      <c r="E46" s="140"/>
      <c r="F46" s="140"/>
      <c r="G46" s="140" t="s">
        <v>162</v>
      </c>
      <c r="H46" s="127"/>
      <c r="I46" s="127"/>
      <c r="J46" s="127"/>
      <c r="K46" s="169" t="s">
        <v>57</v>
      </c>
      <c r="L46" s="140" t="s">
        <v>231</v>
      </c>
      <c r="M46" s="140"/>
    </row>
    <row r="47" spans="1:13">
      <c r="A47" s="139">
        <v>17</v>
      </c>
      <c r="B47" s="139" t="str">
        <f t="shared" si="0"/>
        <v>Q</v>
      </c>
      <c r="C47" s="153"/>
      <c r="D47" s="159" t="s">
        <v>130</v>
      </c>
      <c r="E47" s="140"/>
      <c r="F47" s="140" t="s">
        <v>164</v>
      </c>
      <c r="G47" s="127" t="s">
        <v>163</v>
      </c>
      <c r="H47" s="127"/>
      <c r="I47" s="127"/>
      <c r="J47" s="127"/>
      <c r="K47" s="169" t="s">
        <v>143</v>
      </c>
      <c r="L47" s="140" t="s">
        <v>232</v>
      </c>
      <c r="M47" s="140"/>
    </row>
    <row r="48" spans="1:13">
      <c r="A48" s="139">
        <v>18</v>
      </c>
      <c r="B48" s="139" t="str">
        <f t="shared" si="0"/>
        <v>R</v>
      </c>
      <c r="C48" s="168" t="s">
        <v>176</v>
      </c>
      <c r="D48" s="159" t="s">
        <v>154</v>
      </c>
      <c r="E48" s="167" t="s">
        <v>207</v>
      </c>
      <c r="F48" s="140"/>
      <c r="G48" s="127" t="s">
        <v>26</v>
      </c>
      <c r="H48" s="154" t="s">
        <v>144</v>
      </c>
      <c r="I48" s="127"/>
      <c r="J48" s="127"/>
      <c r="K48" s="169" t="s">
        <v>9</v>
      </c>
      <c r="L48" s="140" t="s">
        <v>231</v>
      </c>
      <c r="M48" s="140"/>
    </row>
    <row r="49" spans="1:13" ht="15.4">
      <c r="A49" s="139">
        <v>19</v>
      </c>
      <c r="B49" s="139" t="str">
        <f t="shared" si="0"/>
        <v>S</v>
      </c>
      <c r="C49" s="153"/>
      <c r="D49" s="159" t="s">
        <v>155</v>
      </c>
      <c r="E49" s="165" t="s">
        <v>138</v>
      </c>
      <c r="F49" s="140"/>
      <c r="G49" s="127" t="s">
        <v>27</v>
      </c>
      <c r="H49" s="154" t="s">
        <v>144</v>
      </c>
      <c r="I49" s="127"/>
      <c r="J49" s="127"/>
      <c r="K49" s="169" t="s">
        <v>9</v>
      </c>
      <c r="L49" s="140" t="s">
        <v>231</v>
      </c>
      <c r="M49" s="140">
        <v>0</v>
      </c>
    </row>
    <row r="50" spans="1:13">
      <c r="A50" s="139">
        <v>20</v>
      </c>
      <c r="B50" s="139" t="str">
        <f t="shared" si="0"/>
        <v>T</v>
      </c>
      <c r="C50" s="153"/>
      <c r="D50" s="159" t="s">
        <v>131</v>
      </c>
      <c r="E50" s="140"/>
      <c r="F50" s="140"/>
      <c r="G50" s="127" t="s">
        <v>28</v>
      </c>
      <c r="H50" s="154" t="s">
        <v>144</v>
      </c>
      <c r="I50" s="127"/>
      <c r="J50" s="127"/>
      <c r="K50" s="169" t="s">
        <v>10</v>
      </c>
      <c r="L50" s="140" t="s">
        <v>231</v>
      </c>
      <c r="M50" s="140"/>
    </row>
    <row r="51" spans="1:13">
      <c r="A51" s="139">
        <v>21</v>
      </c>
      <c r="B51" s="139" t="str">
        <f t="shared" si="0"/>
        <v>U</v>
      </c>
      <c r="C51" s="153"/>
      <c r="D51" s="159" t="s">
        <v>132</v>
      </c>
      <c r="E51" s="140"/>
      <c r="F51" s="140"/>
      <c r="G51" s="127" t="s">
        <v>178</v>
      </c>
      <c r="H51" s="154" t="s">
        <v>144</v>
      </c>
      <c r="I51" s="127"/>
      <c r="J51" s="127"/>
      <c r="K51" s="169"/>
      <c r="L51" s="140" t="s">
        <v>231</v>
      </c>
      <c r="M51" s="140"/>
    </row>
    <row r="52" spans="1:13">
      <c r="A52" s="139">
        <v>22</v>
      </c>
      <c r="B52" s="139" t="str">
        <f t="shared" si="0"/>
        <v>V</v>
      </c>
      <c r="C52" s="168" t="s">
        <v>40</v>
      </c>
      <c r="D52" s="159" t="s">
        <v>133</v>
      </c>
      <c r="E52" s="140"/>
      <c r="F52" s="140"/>
      <c r="G52" s="127" t="s">
        <v>179</v>
      </c>
      <c r="H52" s="154" t="s">
        <v>144</v>
      </c>
      <c r="I52" s="154"/>
      <c r="J52" s="127"/>
      <c r="K52" s="169" t="s">
        <v>195</v>
      </c>
      <c r="L52" s="140" t="s">
        <v>231</v>
      </c>
      <c r="M52" s="140"/>
    </row>
    <row r="53" spans="1:13">
      <c r="A53" s="139">
        <v>23</v>
      </c>
      <c r="B53" s="139" t="str">
        <f t="shared" si="0"/>
        <v>W</v>
      </c>
      <c r="C53" s="153"/>
      <c r="D53" s="159" t="s">
        <v>134</v>
      </c>
      <c r="E53" s="140"/>
      <c r="F53" s="140"/>
      <c r="G53" s="127" t="s">
        <v>180</v>
      </c>
      <c r="H53" s="154" t="s">
        <v>144</v>
      </c>
      <c r="I53" s="154"/>
      <c r="J53" s="127"/>
      <c r="K53" s="169" t="s">
        <v>196</v>
      </c>
      <c r="L53" s="140" t="s">
        <v>231</v>
      </c>
      <c r="M53" s="140"/>
    </row>
    <row r="54" spans="1:13">
      <c r="A54" s="139">
        <v>24</v>
      </c>
      <c r="B54" s="139" t="str">
        <f t="shared" si="0"/>
        <v>X</v>
      </c>
      <c r="C54" s="153"/>
      <c r="D54" s="159" t="s">
        <v>135</v>
      </c>
      <c r="E54" s="140"/>
      <c r="F54" s="140"/>
      <c r="G54" s="127" t="s">
        <v>181</v>
      </c>
      <c r="H54" s="154" t="s">
        <v>144</v>
      </c>
      <c r="I54" s="154"/>
      <c r="J54" s="127"/>
      <c r="K54" s="169" t="s">
        <v>197</v>
      </c>
      <c r="L54" s="140" t="s">
        <v>231</v>
      </c>
      <c r="M54" s="140"/>
    </row>
    <row r="55" spans="1:13">
      <c r="A55" s="139">
        <v>25</v>
      </c>
      <c r="B55" s="139" t="str">
        <f t="shared" si="0"/>
        <v>Y</v>
      </c>
      <c r="C55" s="153"/>
      <c r="D55" s="159" t="s">
        <v>136</v>
      </c>
      <c r="E55" s="140"/>
      <c r="F55" s="140"/>
      <c r="G55" s="127" t="s">
        <v>182</v>
      </c>
      <c r="H55" s="154" t="s">
        <v>144</v>
      </c>
      <c r="I55" s="154"/>
      <c r="J55" s="127"/>
      <c r="K55" s="169" t="s">
        <v>272</v>
      </c>
      <c r="L55" s="140" t="s">
        <v>231</v>
      </c>
      <c r="M55" s="140"/>
    </row>
    <row r="56" spans="1:13">
      <c r="A56" s="139">
        <v>26</v>
      </c>
      <c r="B56" s="139" t="str">
        <f t="shared" si="0"/>
        <v>Z</v>
      </c>
      <c r="C56" s="168" t="s">
        <v>41</v>
      </c>
      <c r="D56" s="159" t="s">
        <v>133</v>
      </c>
      <c r="E56" s="140"/>
      <c r="F56" s="140"/>
      <c r="G56" s="127" t="s">
        <v>58</v>
      </c>
      <c r="H56" s="154" t="s">
        <v>144</v>
      </c>
      <c r="I56" s="127"/>
      <c r="J56" s="127"/>
      <c r="K56" s="169" t="s">
        <v>273</v>
      </c>
      <c r="L56" s="140" t="s">
        <v>231</v>
      </c>
      <c r="M56" s="140"/>
    </row>
    <row r="57" spans="1:13">
      <c r="A57" s="139">
        <v>27</v>
      </c>
      <c r="B57" s="139" t="str">
        <f t="shared" si="0"/>
        <v>AA</v>
      </c>
      <c r="C57" s="153"/>
      <c r="D57" s="159" t="s">
        <v>134</v>
      </c>
      <c r="E57" s="140"/>
      <c r="F57" s="140"/>
      <c r="G57" s="127" t="s">
        <v>59</v>
      </c>
      <c r="H57" s="154" t="s">
        <v>144</v>
      </c>
      <c r="I57" s="127"/>
      <c r="J57" s="127"/>
      <c r="K57" s="169" t="s">
        <v>274</v>
      </c>
      <c r="L57" s="140" t="s">
        <v>231</v>
      </c>
      <c r="M57" s="140"/>
    </row>
    <row r="58" spans="1:13">
      <c r="A58" s="139">
        <v>28</v>
      </c>
      <c r="B58" s="139" t="str">
        <f t="shared" si="0"/>
        <v>AB</v>
      </c>
      <c r="C58" s="153"/>
      <c r="D58" s="159" t="s">
        <v>135</v>
      </c>
      <c r="E58" s="140"/>
      <c r="F58" s="140"/>
      <c r="G58" s="127" t="s">
        <v>60</v>
      </c>
      <c r="H58" s="154" t="s">
        <v>144</v>
      </c>
      <c r="I58" s="127"/>
      <c r="J58" s="127"/>
      <c r="K58" s="169" t="s">
        <v>275</v>
      </c>
      <c r="L58" s="140" t="s">
        <v>231</v>
      </c>
      <c r="M58" s="140"/>
    </row>
    <row r="59" spans="1:13">
      <c r="A59" s="139">
        <v>29</v>
      </c>
      <c r="B59" s="139" t="str">
        <f t="shared" si="0"/>
        <v>AC</v>
      </c>
      <c r="C59" s="153"/>
      <c r="D59" s="159" t="s">
        <v>137</v>
      </c>
      <c r="E59" s="140"/>
      <c r="F59" s="140"/>
      <c r="G59" s="127" t="s">
        <v>183</v>
      </c>
      <c r="H59" s="154" t="s">
        <v>144</v>
      </c>
      <c r="I59" s="127"/>
      <c r="J59" s="127"/>
      <c r="K59" s="169" t="s">
        <v>276</v>
      </c>
      <c r="L59" s="140"/>
      <c r="M59" s="140"/>
    </row>
    <row r="60" spans="1:13">
      <c r="A60" s="139">
        <v>30</v>
      </c>
      <c r="B60" s="139" t="str">
        <f t="shared" si="0"/>
        <v>AD</v>
      </c>
      <c r="C60" s="153"/>
      <c r="D60" s="159" t="s">
        <v>145</v>
      </c>
      <c r="E60" s="167" t="s">
        <v>206</v>
      </c>
      <c r="F60" s="140"/>
      <c r="G60" s="127" t="s">
        <v>184</v>
      </c>
      <c r="H60" s="127"/>
      <c r="I60" s="154" t="s">
        <v>144</v>
      </c>
      <c r="J60" s="127"/>
      <c r="K60" s="169" t="s">
        <v>277</v>
      </c>
      <c r="L60" s="140" t="s">
        <v>231</v>
      </c>
      <c r="M60" s="140"/>
    </row>
    <row r="61" spans="1:13" ht="15.4">
      <c r="A61" s="155">
        <v>31</v>
      </c>
      <c r="B61" s="155" t="str">
        <f t="shared" si="0"/>
        <v>AE</v>
      </c>
      <c r="C61" s="156"/>
      <c r="D61" s="160" t="s">
        <v>146</v>
      </c>
      <c r="E61" s="166" t="s">
        <v>139</v>
      </c>
      <c r="F61" s="158"/>
      <c r="G61" s="157" t="s">
        <v>185</v>
      </c>
      <c r="H61" s="157"/>
      <c r="I61" s="161" t="s">
        <v>144</v>
      </c>
      <c r="J61" s="157"/>
      <c r="K61" s="170" t="s">
        <v>277</v>
      </c>
      <c r="L61" s="158" t="s">
        <v>231</v>
      </c>
      <c r="M61" s="140"/>
    </row>
    <row r="62" spans="1:13">
      <c r="A62" s="139">
        <v>32</v>
      </c>
      <c r="B62" s="139" t="str">
        <f t="shared" si="0"/>
        <v>AF</v>
      </c>
      <c r="C62" s="168" t="s">
        <v>42</v>
      </c>
      <c r="D62" s="159" t="s">
        <v>147</v>
      </c>
      <c r="E62" s="140"/>
      <c r="F62" s="140" t="s">
        <v>165</v>
      </c>
      <c r="G62" s="127"/>
      <c r="H62" s="127"/>
      <c r="I62" s="127"/>
      <c r="J62" s="127"/>
      <c r="K62" s="169"/>
      <c r="L62" s="140" t="s">
        <v>232</v>
      </c>
      <c r="M62" s="205"/>
    </row>
    <row r="63" spans="1:13">
      <c r="A63" s="139">
        <v>33</v>
      </c>
      <c r="B63" s="139" t="str">
        <f t="shared" si="0"/>
        <v>AG</v>
      </c>
      <c r="C63" s="153"/>
      <c r="D63" s="159" t="s">
        <v>148</v>
      </c>
      <c r="E63" s="140"/>
      <c r="F63" s="140" t="s">
        <v>166</v>
      </c>
      <c r="G63" s="127"/>
      <c r="H63" s="127"/>
      <c r="I63" s="127"/>
      <c r="J63" s="127"/>
      <c r="K63" s="169"/>
      <c r="L63" s="140"/>
      <c r="M63" s="140"/>
    </row>
    <row r="64" spans="1:13">
      <c r="A64" s="139">
        <v>34</v>
      </c>
      <c r="B64" s="139" t="str">
        <f t="shared" si="0"/>
        <v>AH</v>
      </c>
      <c r="C64" s="153"/>
      <c r="D64" s="159" t="s">
        <v>149</v>
      </c>
      <c r="E64" s="140" t="s">
        <v>186</v>
      </c>
      <c r="F64" s="140"/>
      <c r="G64" s="127" t="s">
        <v>167</v>
      </c>
      <c r="H64" s="127"/>
      <c r="I64" s="127"/>
      <c r="J64" s="127"/>
      <c r="K64" s="169"/>
      <c r="L64" s="140"/>
      <c r="M64" s="140" t="s">
        <v>38</v>
      </c>
    </row>
    <row r="65" spans="1:13">
      <c r="A65" s="139">
        <v>35</v>
      </c>
      <c r="B65" s="139" t="str">
        <f t="shared" si="0"/>
        <v>AI</v>
      </c>
      <c r="C65" s="153"/>
      <c r="D65" s="159" t="s">
        <v>247</v>
      </c>
      <c r="E65" s="140" t="s">
        <v>187</v>
      </c>
      <c r="F65" s="140"/>
      <c r="G65" s="127" t="s">
        <v>168</v>
      </c>
      <c r="H65" s="127"/>
      <c r="I65" s="127"/>
      <c r="J65" s="127"/>
      <c r="K65" s="169"/>
      <c r="L65" s="140" t="s">
        <v>231</v>
      </c>
      <c r="M65" s="140" t="s">
        <v>39</v>
      </c>
    </row>
    <row r="66" spans="1:13">
      <c r="A66" s="139">
        <v>36</v>
      </c>
      <c r="B66" s="139" t="str">
        <f t="shared" si="0"/>
        <v>AJ</v>
      </c>
      <c r="C66" s="153"/>
      <c r="D66" s="159" t="s">
        <v>248</v>
      </c>
      <c r="E66" s="140" t="s">
        <v>188</v>
      </c>
      <c r="F66" s="140"/>
      <c r="G66" s="127" t="s">
        <v>169</v>
      </c>
      <c r="H66" s="127"/>
      <c r="I66" s="127"/>
      <c r="J66" s="127"/>
      <c r="K66" s="169"/>
      <c r="L66" s="140" t="s">
        <v>231</v>
      </c>
      <c r="M66" s="140" t="s">
        <v>39</v>
      </c>
    </row>
    <row r="67" spans="1:13">
      <c r="A67" s="139">
        <v>37</v>
      </c>
      <c r="B67" s="139" t="str">
        <f t="shared" si="0"/>
        <v>AK</v>
      </c>
      <c r="C67" s="168" t="s">
        <v>43</v>
      </c>
      <c r="D67" s="159" t="s">
        <v>249</v>
      </c>
      <c r="E67" s="140"/>
      <c r="F67" s="127" t="s">
        <v>170</v>
      </c>
      <c r="G67" s="140"/>
      <c r="H67" s="127"/>
      <c r="I67" s="127"/>
      <c r="J67" s="127"/>
      <c r="K67" s="169"/>
      <c r="L67" s="140" t="s">
        <v>232</v>
      </c>
      <c r="M67" s="140"/>
    </row>
    <row r="68" spans="1:13">
      <c r="A68" s="139">
        <v>38</v>
      </c>
      <c r="B68" s="139" t="str">
        <f t="shared" si="0"/>
        <v>AL</v>
      </c>
      <c r="C68" s="153"/>
      <c r="D68" s="159" t="s">
        <v>250</v>
      </c>
      <c r="E68" s="140"/>
      <c r="F68" s="127" t="s">
        <v>171</v>
      </c>
      <c r="G68" s="127"/>
      <c r="H68" s="127"/>
      <c r="I68" s="127"/>
      <c r="J68" s="127"/>
      <c r="K68" s="169"/>
      <c r="L68" s="140"/>
      <c r="M68" s="140"/>
    </row>
    <row r="69" spans="1:13">
      <c r="A69" s="139">
        <v>39</v>
      </c>
      <c r="B69" s="139" t="str">
        <f t="shared" si="0"/>
        <v>AM</v>
      </c>
      <c r="C69" s="153"/>
      <c r="D69" s="159" t="s">
        <v>251</v>
      </c>
      <c r="E69" s="140" t="s">
        <v>189</v>
      </c>
      <c r="F69" s="140"/>
      <c r="G69" s="127" t="s">
        <v>172</v>
      </c>
      <c r="H69" s="127"/>
      <c r="I69" s="127"/>
      <c r="J69" s="127"/>
      <c r="K69" s="169"/>
      <c r="L69" s="140"/>
      <c r="M69" s="140" t="s">
        <v>38</v>
      </c>
    </row>
    <row r="70" spans="1:13">
      <c r="A70" s="139">
        <v>40</v>
      </c>
      <c r="B70" s="139" t="str">
        <f t="shared" si="0"/>
        <v>AN</v>
      </c>
      <c r="C70" s="153"/>
      <c r="D70" s="159" t="s">
        <v>252</v>
      </c>
      <c r="E70" s="140" t="s">
        <v>190</v>
      </c>
      <c r="F70" s="140"/>
      <c r="G70" s="127" t="s">
        <v>173</v>
      </c>
      <c r="H70" s="127"/>
      <c r="I70" s="127"/>
      <c r="J70" s="127"/>
      <c r="K70" s="169"/>
      <c r="L70" s="140" t="s">
        <v>231</v>
      </c>
      <c r="M70" s="140" t="s">
        <v>39</v>
      </c>
    </row>
    <row r="71" spans="1:13">
      <c r="A71" s="155">
        <v>41</v>
      </c>
      <c r="B71" s="155" t="str">
        <f t="shared" si="0"/>
        <v>AO</v>
      </c>
      <c r="C71" s="156"/>
      <c r="D71" s="160" t="s">
        <v>253</v>
      </c>
      <c r="E71" s="176" t="s">
        <v>191</v>
      </c>
      <c r="F71" s="158"/>
      <c r="G71" s="157" t="s">
        <v>174</v>
      </c>
      <c r="H71" s="157"/>
      <c r="I71" s="157"/>
      <c r="J71" s="157"/>
      <c r="K71" s="170"/>
      <c r="L71" s="158" t="s">
        <v>231</v>
      </c>
      <c r="M71" s="158" t="s">
        <v>39</v>
      </c>
    </row>
    <row r="72" spans="1:13">
      <c r="A72" s="139">
        <v>42</v>
      </c>
      <c r="B72" s="139" t="str">
        <f t="shared" si="0"/>
        <v>AP</v>
      </c>
      <c r="C72" s="127"/>
      <c r="D72" s="127" t="s">
        <v>1</v>
      </c>
      <c r="E72" s="140" t="s">
        <v>2</v>
      </c>
      <c r="F72" s="127" t="s">
        <v>5</v>
      </c>
      <c r="G72" s="127"/>
      <c r="H72" s="127"/>
      <c r="I72" s="127"/>
      <c r="J72" s="127"/>
      <c r="K72" s="169" t="s">
        <v>3</v>
      </c>
      <c r="L72" s="140" t="s">
        <v>4</v>
      </c>
      <c r="M72" s="140" t="s">
        <v>4</v>
      </c>
    </row>
    <row r="73" spans="1:13">
      <c r="E73" s="125"/>
    </row>
  </sheetData>
  <phoneticPr fontId="0"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725"/>
  <sheetViews>
    <sheetView workbookViewId="0">
      <selection activeCell="C22" sqref="C22"/>
    </sheetView>
  </sheetViews>
  <sheetFormatPr defaultColWidth="16.125" defaultRowHeight="13.9"/>
  <cols>
    <col min="1" max="1" width="36.875" style="2" customWidth="1"/>
    <col min="2" max="2" width="13.125" style="2" customWidth="1"/>
    <col min="3" max="3" width="23.125" style="2" bestFit="1" customWidth="1"/>
    <col min="4" max="5" width="21" style="2" customWidth="1"/>
    <col min="6" max="6" width="27" style="2" bestFit="1" customWidth="1"/>
    <col min="7" max="8" width="21" style="2" customWidth="1"/>
    <col min="9" max="9" width="22.875" style="2" bestFit="1" customWidth="1"/>
    <col min="10" max="16384" width="16.125" style="2"/>
  </cols>
  <sheetData>
    <row r="1" spans="1:10" ht="68.099999999999994" customHeight="1">
      <c r="A1" s="10" t="s">
        <v>226</v>
      </c>
      <c r="C1" s="2" t="s">
        <v>228</v>
      </c>
      <c r="D1" s="3"/>
      <c r="E1" s="3"/>
      <c r="F1" s="4"/>
      <c r="G1" s="3"/>
      <c r="H1" s="3"/>
      <c r="I1" s="5"/>
      <c r="J1" s="5"/>
    </row>
    <row r="2" spans="1:10" ht="15.75">
      <c r="B2" s="6"/>
      <c r="C2" s="2">
        <v>8</v>
      </c>
      <c r="D2" s="3"/>
      <c r="E2" s="3"/>
      <c r="F2" s="4"/>
      <c r="G2" s="3"/>
      <c r="H2" s="3"/>
      <c r="I2" s="1"/>
      <c r="J2" s="1"/>
    </row>
    <row r="3" spans="1:10">
      <c r="F3" s="4"/>
      <c r="I3" s="1"/>
      <c r="J3" s="1"/>
    </row>
    <row r="4" spans="1:10">
      <c r="A4" s="2" t="s">
        <v>69</v>
      </c>
      <c r="B4" s="2" t="s">
        <v>69</v>
      </c>
      <c r="F4" s="4"/>
      <c r="I4" s="1"/>
      <c r="J4" s="1"/>
    </row>
    <row r="5" spans="1:10" ht="17.25" customHeight="1">
      <c r="A5" t="s">
        <v>177</v>
      </c>
      <c r="B5" t="s">
        <v>150</v>
      </c>
      <c r="D5" s="1"/>
      <c r="E5" s="1"/>
      <c r="F5" s="4"/>
      <c r="G5" s="1"/>
      <c r="H5" s="1"/>
      <c r="J5" s="1"/>
    </row>
    <row r="6" spans="1:10" ht="15.75">
      <c r="A6" t="s">
        <v>325</v>
      </c>
      <c r="B6" t="s">
        <v>7</v>
      </c>
      <c r="D6" s="1"/>
      <c r="E6" s="1"/>
      <c r="F6" s="4"/>
      <c r="G6" s="1"/>
      <c r="H6" s="1"/>
      <c r="J6" s="1"/>
    </row>
    <row r="7" spans="1:10" ht="15.75">
      <c r="A7" t="s">
        <v>330</v>
      </c>
      <c r="B7" t="s">
        <v>331</v>
      </c>
      <c r="F7" s="4"/>
      <c r="I7" s="1"/>
      <c r="J7" s="1"/>
    </row>
    <row r="8" spans="1:10" ht="15.75">
      <c r="A8" t="s">
        <v>376</v>
      </c>
      <c r="B8" t="s">
        <v>377</v>
      </c>
      <c r="F8" s="4"/>
      <c r="I8" s="1"/>
      <c r="J8" s="1"/>
    </row>
    <row r="9" spans="1:10" ht="15.75">
      <c r="A9" t="s">
        <v>338</v>
      </c>
      <c r="B9" t="s">
        <v>339</v>
      </c>
      <c r="D9" s="1"/>
      <c r="E9" s="1"/>
      <c r="F9" s="4"/>
      <c r="G9" s="1"/>
      <c r="H9" s="1"/>
      <c r="I9" s="1"/>
      <c r="J9" s="1"/>
    </row>
    <row r="10" spans="1:10" ht="15.75">
      <c r="A10" t="s">
        <v>334</v>
      </c>
      <c r="B10" t="s">
        <v>335</v>
      </c>
      <c r="D10" s="1"/>
      <c r="E10" s="6"/>
      <c r="F10" s="6"/>
      <c r="G10" s="1"/>
      <c r="H10" s="1"/>
      <c r="I10" s="1"/>
      <c r="J10" s="1"/>
    </row>
    <row r="11" spans="1:10" ht="15.75">
      <c r="A11" t="s">
        <v>332</v>
      </c>
      <c r="B11" t="s">
        <v>333</v>
      </c>
      <c r="D11" s="1"/>
      <c r="E11" s="6"/>
      <c r="F11" s="6"/>
      <c r="G11" s="1"/>
      <c r="H11" s="1"/>
      <c r="I11" s="1"/>
      <c r="J11" s="1"/>
    </row>
    <row r="12" spans="1:10" ht="15.75">
      <c r="A12" t="s">
        <v>340</v>
      </c>
      <c r="B12" t="s">
        <v>341</v>
      </c>
      <c r="D12" s="6"/>
      <c r="E12" s="6"/>
      <c r="F12" s="6"/>
      <c r="G12" s="1"/>
      <c r="H12" s="1"/>
      <c r="I12" s="1"/>
      <c r="J12" s="1"/>
    </row>
    <row r="13" spans="1:10" ht="15.75">
      <c r="A13" t="s">
        <v>366</v>
      </c>
      <c r="B13" t="s">
        <v>367</v>
      </c>
      <c r="E13" s="6"/>
      <c r="F13" s="6"/>
      <c r="G13" s="1"/>
      <c r="H13" s="1"/>
      <c r="I13" s="1"/>
      <c r="J13" s="1"/>
    </row>
    <row r="14" spans="1:10" ht="15.75">
      <c r="A14" t="s">
        <v>352</v>
      </c>
      <c r="B14" t="s">
        <v>353</v>
      </c>
      <c r="D14" s="6"/>
      <c r="E14" s="6"/>
      <c r="F14" s="6"/>
      <c r="G14" s="1"/>
      <c r="H14" s="1"/>
      <c r="I14" s="1"/>
      <c r="J14" s="1"/>
    </row>
    <row r="15" spans="1:10" ht="15.75">
      <c r="A15" t="s">
        <v>354</v>
      </c>
      <c r="B15" t="s">
        <v>355</v>
      </c>
      <c r="D15" s="6"/>
      <c r="E15" s="6"/>
      <c r="F15" s="6"/>
      <c r="I15" s="1"/>
      <c r="J15" s="1"/>
    </row>
    <row r="16" spans="1:10" ht="15.75">
      <c r="A16" t="s">
        <v>348</v>
      </c>
      <c r="B16" t="s">
        <v>349</v>
      </c>
      <c r="D16" s="6"/>
      <c r="E16" s="6"/>
      <c r="F16" s="6"/>
      <c r="I16" s="1"/>
      <c r="J16" s="1"/>
    </row>
    <row r="17" spans="1:10" ht="15.75">
      <c r="A17" t="s">
        <v>362</v>
      </c>
      <c r="B17" t="s">
        <v>363</v>
      </c>
      <c r="D17" s="141"/>
      <c r="E17" s="142"/>
      <c r="F17" s="141"/>
      <c r="G17" s="143"/>
      <c r="I17" s="1"/>
      <c r="J17" s="1"/>
    </row>
    <row r="18" spans="1:10" ht="15.75">
      <c r="A18" t="s">
        <v>374</v>
      </c>
      <c r="B18" t="s">
        <v>375</v>
      </c>
      <c r="D18" s="141"/>
      <c r="E18" s="142"/>
      <c r="F18" s="144"/>
      <c r="G18" s="143"/>
      <c r="I18" s="1"/>
      <c r="J18" s="1"/>
    </row>
    <row r="19" spans="1:10" ht="15.75">
      <c r="A19" t="s">
        <v>350</v>
      </c>
      <c r="B19" t="s">
        <v>351</v>
      </c>
      <c r="D19" s="141"/>
      <c r="E19" s="142"/>
      <c r="F19" s="144"/>
      <c r="G19" s="143"/>
      <c r="I19" s="1"/>
      <c r="J19" s="1"/>
    </row>
    <row r="20" spans="1:10" ht="15.75">
      <c r="A20" t="s">
        <v>360</v>
      </c>
      <c r="B20" t="s">
        <v>361</v>
      </c>
      <c r="C20" s="7"/>
      <c r="D20" s="141"/>
      <c r="E20" s="142"/>
      <c r="F20" s="144"/>
      <c r="G20" s="143"/>
      <c r="I20" s="1"/>
      <c r="J20" s="1"/>
    </row>
    <row r="21" spans="1:10" ht="15.75">
      <c r="A21" t="s">
        <v>364</v>
      </c>
      <c r="B21" t="s">
        <v>365</v>
      </c>
      <c r="C21" s="7"/>
      <c r="D21" s="143"/>
      <c r="E21" s="145"/>
      <c r="F21" s="144"/>
      <c r="G21" s="143"/>
      <c r="I21" s="1"/>
      <c r="J21" s="1"/>
    </row>
    <row r="22" spans="1:10" ht="15.75">
      <c r="A22" t="s">
        <v>356</v>
      </c>
      <c r="B22" t="s">
        <v>357</v>
      </c>
      <c r="C22" s="7"/>
      <c r="D22" s="143"/>
      <c r="E22" s="145"/>
      <c r="F22" s="144"/>
      <c r="G22" s="143"/>
      <c r="I22" s="1"/>
      <c r="J22" s="1"/>
    </row>
    <row r="23" spans="1:10" ht="15.75">
      <c r="A23" t="s">
        <v>346</v>
      </c>
      <c r="B23" t="s">
        <v>347</v>
      </c>
      <c r="C23" s="7"/>
      <c r="D23" s="146"/>
      <c r="E23" s="147"/>
      <c r="F23" s="144"/>
      <c r="G23" s="146"/>
      <c r="H23" s="1"/>
      <c r="I23" s="1"/>
    </row>
    <row r="24" spans="1:10" ht="15.75">
      <c r="A24" t="s">
        <v>358</v>
      </c>
      <c r="B24" t="s">
        <v>359</v>
      </c>
      <c r="C24" s="7"/>
      <c r="D24" s="146"/>
      <c r="E24" s="147"/>
      <c r="F24" s="144"/>
      <c r="G24" s="146"/>
      <c r="H24" s="1"/>
      <c r="I24" s="1"/>
    </row>
    <row r="25" spans="1:10" ht="15.75">
      <c r="A25" t="s">
        <v>342</v>
      </c>
      <c r="B25" t="s">
        <v>343</v>
      </c>
      <c r="C25" s="7"/>
      <c r="D25" s="143"/>
      <c r="E25" s="145"/>
      <c r="F25" s="144"/>
      <c r="G25" s="143"/>
      <c r="I25" s="1"/>
    </row>
    <row r="26" spans="1:10" ht="15.75">
      <c r="A26" t="s">
        <v>372</v>
      </c>
      <c r="B26" t="s">
        <v>373</v>
      </c>
      <c r="C26" s="7"/>
      <c r="D26" s="146"/>
      <c r="E26" s="147"/>
      <c r="F26" s="144"/>
      <c r="G26" s="146"/>
      <c r="H26" s="1"/>
      <c r="I26" s="1"/>
    </row>
    <row r="27" spans="1:10" ht="15.75">
      <c r="A27" t="s">
        <v>368</v>
      </c>
      <c r="B27" t="s">
        <v>369</v>
      </c>
      <c r="C27" s="7"/>
      <c r="D27" s="146"/>
      <c r="E27" s="147"/>
      <c r="F27" s="144"/>
      <c r="G27" s="146"/>
      <c r="H27" s="1"/>
      <c r="I27" s="1"/>
    </row>
    <row r="28" spans="1:10" ht="15.75">
      <c r="A28" t="s">
        <v>344</v>
      </c>
      <c r="B28" t="s">
        <v>345</v>
      </c>
      <c r="C28" s="7"/>
      <c r="D28" s="146"/>
      <c r="E28" s="147"/>
      <c r="F28" s="144"/>
      <c r="G28" s="146"/>
      <c r="H28" s="1"/>
      <c r="I28" s="1"/>
    </row>
    <row r="29" spans="1:10" ht="15.75">
      <c r="A29" t="s">
        <v>336</v>
      </c>
      <c r="B29" t="s">
        <v>337</v>
      </c>
      <c r="C29" s="7"/>
      <c r="D29" s="143"/>
      <c r="E29" s="145"/>
      <c r="F29" s="144"/>
      <c r="G29" s="143"/>
      <c r="I29" s="1"/>
    </row>
    <row r="30" spans="1:10" ht="15.75">
      <c r="A30" t="s">
        <v>370</v>
      </c>
      <c r="B30" t="s">
        <v>371</v>
      </c>
      <c r="C30" s="7"/>
      <c r="D30" s="143"/>
      <c r="E30" s="145"/>
      <c r="F30" s="144"/>
      <c r="G30" s="143"/>
      <c r="I30" s="1"/>
    </row>
    <row r="31" spans="1:10" ht="15.75">
      <c r="A31"/>
      <c r="B31"/>
      <c r="D31" s="143"/>
      <c r="E31" s="145"/>
      <c r="F31" s="144"/>
      <c r="G31" s="143"/>
      <c r="I31" s="1"/>
    </row>
    <row r="32" spans="1:10" ht="15.75">
      <c r="A32"/>
      <c r="B32"/>
      <c r="D32" s="143"/>
      <c r="E32" s="145"/>
      <c r="F32" s="143"/>
      <c r="G32" s="143"/>
      <c r="I32" s="1"/>
    </row>
    <row r="33" spans="1:9" ht="15.75">
      <c r="A33"/>
      <c r="B33"/>
      <c r="D33" s="143"/>
      <c r="E33" s="145"/>
      <c r="F33" s="143"/>
      <c r="G33" s="143"/>
      <c r="I33" s="1"/>
    </row>
    <row r="34" spans="1:9">
      <c r="B34" s="148"/>
      <c r="D34" s="143"/>
      <c r="E34" s="145"/>
      <c r="F34" s="143"/>
      <c r="G34" s="143"/>
      <c r="I34" s="1"/>
    </row>
    <row r="35" spans="1:9">
      <c r="B35" s="148"/>
      <c r="D35" s="143"/>
      <c r="E35" s="145"/>
      <c r="F35" s="143"/>
      <c r="G35" s="143"/>
      <c r="I35" s="1"/>
    </row>
    <row r="36" spans="1:9">
      <c r="B36" s="148"/>
      <c r="D36" s="143"/>
      <c r="E36" s="145"/>
      <c r="F36" s="146"/>
      <c r="G36" s="143"/>
      <c r="I36" s="1"/>
    </row>
    <row r="37" spans="1:9">
      <c r="B37" s="148"/>
      <c r="D37" s="143"/>
      <c r="E37" s="145"/>
      <c r="F37" s="146"/>
      <c r="G37" s="143"/>
      <c r="I37" s="1"/>
    </row>
    <row r="38" spans="1:9">
      <c r="B38" s="148"/>
      <c r="D38" s="143"/>
      <c r="E38" s="145"/>
      <c r="F38" s="146"/>
      <c r="G38" s="143"/>
      <c r="I38" s="1"/>
    </row>
    <row r="39" spans="1:9">
      <c r="B39" s="148"/>
      <c r="D39" s="143"/>
      <c r="E39" s="145"/>
      <c r="F39" s="146"/>
      <c r="G39" s="143"/>
      <c r="I39" s="1"/>
    </row>
    <row r="40" spans="1:9">
      <c r="B40" s="148"/>
      <c r="D40" s="143"/>
      <c r="E40" s="145"/>
      <c r="F40" s="146"/>
      <c r="G40" s="143"/>
      <c r="I40" s="1"/>
    </row>
    <row r="41" spans="1:9">
      <c r="B41" s="148"/>
      <c r="D41" s="143"/>
      <c r="E41" s="145"/>
      <c r="F41" s="146"/>
      <c r="G41" s="143"/>
      <c r="I41" s="1"/>
    </row>
    <row r="42" spans="1:9">
      <c r="B42" s="148"/>
      <c r="D42" s="143"/>
      <c r="E42" s="145"/>
      <c r="F42" s="146"/>
      <c r="G42" s="143"/>
      <c r="I42" s="1"/>
    </row>
    <row r="43" spans="1:9">
      <c r="B43" s="148"/>
      <c r="D43" s="143"/>
      <c r="E43" s="145"/>
      <c r="F43" s="149"/>
      <c r="G43" s="150"/>
      <c r="I43" s="1"/>
    </row>
    <row r="44" spans="1:9">
      <c r="B44" s="148"/>
      <c r="D44" s="143"/>
      <c r="E44" s="145"/>
      <c r="F44" s="146"/>
      <c r="G44" s="143"/>
      <c r="I44" s="1"/>
    </row>
    <row r="45" spans="1:9">
      <c r="B45" s="148"/>
      <c r="D45" s="143"/>
      <c r="E45" s="145"/>
      <c r="F45" s="146"/>
      <c r="G45" s="143"/>
      <c r="I45" s="1"/>
    </row>
    <row r="46" spans="1:9">
      <c r="B46" s="148"/>
      <c r="D46" s="143"/>
      <c r="E46" s="145"/>
      <c r="F46" s="146"/>
      <c r="G46" s="143"/>
      <c r="I46" s="1"/>
    </row>
    <row r="47" spans="1:9">
      <c r="B47" s="148"/>
      <c r="D47" s="143"/>
      <c r="E47" s="145"/>
      <c r="F47" s="146"/>
      <c r="G47" s="143"/>
      <c r="I47" s="1"/>
    </row>
    <row r="48" spans="1:9">
      <c r="B48" s="148"/>
      <c r="D48" s="143"/>
      <c r="E48" s="145"/>
      <c r="F48" s="149"/>
      <c r="G48" s="150"/>
      <c r="I48" s="1"/>
    </row>
    <row r="49" spans="2:9">
      <c r="B49" s="148"/>
      <c r="D49" s="143"/>
      <c r="E49" s="145"/>
      <c r="F49" s="149"/>
      <c r="G49" s="150"/>
      <c r="I49" s="1"/>
    </row>
    <row r="50" spans="2:9">
      <c r="B50" s="148"/>
      <c r="D50" s="143"/>
      <c r="E50" s="145"/>
      <c r="F50" s="149"/>
      <c r="G50" s="150"/>
      <c r="I50" s="1"/>
    </row>
    <row r="51" spans="2:9">
      <c r="B51" s="148"/>
      <c r="D51" s="143"/>
      <c r="E51" s="145"/>
      <c r="F51" s="149"/>
      <c r="G51" s="150"/>
      <c r="I51" s="1"/>
    </row>
    <row r="52" spans="2:9">
      <c r="B52" s="148"/>
      <c r="D52" s="143"/>
      <c r="E52" s="145"/>
      <c r="F52" s="149"/>
      <c r="G52" s="150"/>
      <c r="I52" s="1"/>
    </row>
    <row r="53" spans="2:9">
      <c r="B53" s="148"/>
      <c r="C53" s="1"/>
      <c r="D53" s="143"/>
      <c r="E53" s="145"/>
      <c r="F53" s="149"/>
      <c r="G53" s="150"/>
      <c r="I53" s="1"/>
    </row>
    <row r="54" spans="2:9">
      <c r="B54" s="148"/>
      <c r="D54" s="143"/>
      <c r="E54" s="145"/>
      <c r="F54" s="149"/>
      <c r="G54" s="150"/>
      <c r="I54" s="1"/>
    </row>
    <row r="55" spans="2:9">
      <c r="B55" s="148"/>
      <c r="D55" s="143"/>
      <c r="E55" s="145"/>
      <c r="F55" s="149"/>
      <c r="G55" s="150"/>
      <c r="I55" s="1"/>
    </row>
    <row r="56" spans="2:9">
      <c r="B56" s="148"/>
      <c r="D56" s="143"/>
      <c r="E56" s="145"/>
      <c r="F56" s="149"/>
      <c r="G56" s="150"/>
      <c r="I56" s="1"/>
    </row>
    <row r="57" spans="2:9">
      <c r="B57" s="151"/>
      <c r="D57" s="143"/>
      <c r="E57" s="145"/>
      <c r="F57" s="149"/>
      <c r="G57" s="150"/>
      <c r="I57" s="1"/>
    </row>
    <row r="58" spans="2:9">
      <c r="B58" s="148"/>
      <c r="D58" s="143"/>
      <c r="E58" s="145"/>
      <c r="F58" s="149"/>
      <c r="G58" s="150"/>
      <c r="I58" s="1"/>
    </row>
    <row r="59" spans="2:9">
      <c r="B59" s="148"/>
      <c r="D59" s="143"/>
      <c r="E59" s="145"/>
      <c r="F59" s="149"/>
      <c r="G59" s="150"/>
      <c r="I59" s="1"/>
    </row>
    <row r="60" spans="2:9">
      <c r="B60" s="148"/>
      <c r="D60" s="143"/>
      <c r="E60" s="145"/>
      <c r="F60" s="149"/>
      <c r="G60" s="150"/>
      <c r="I60" s="1"/>
    </row>
    <row r="61" spans="2:9">
      <c r="B61" s="148"/>
      <c r="D61" s="143"/>
      <c r="E61" s="145"/>
      <c r="F61" s="149"/>
      <c r="G61" s="150"/>
      <c r="I61" s="1"/>
    </row>
    <row r="62" spans="2:9">
      <c r="B62" s="148"/>
      <c r="D62" s="143"/>
      <c r="E62" s="145"/>
      <c r="F62" s="149"/>
      <c r="G62" s="150"/>
      <c r="I62" s="1"/>
    </row>
    <row r="63" spans="2:9">
      <c r="B63" s="148"/>
      <c r="D63" s="143"/>
      <c r="E63" s="145"/>
      <c r="F63" s="149"/>
      <c r="G63" s="150"/>
      <c r="I63" s="1"/>
    </row>
    <row r="64" spans="2:9">
      <c r="B64" s="151"/>
      <c r="D64" s="143"/>
      <c r="E64" s="145"/>
      <c r="F64" s="149"/>
      <c r="G64" s="150"/>
      <c r="I64" s="1"/>
    </row>
    <row r="65" spans="2:9">
      <c r="B65" s="148"/>
      <c r="D65" s="143"/>
      <c r="E65" s="145"/>
      <c r="F65" s="149"/>
      <c r="G65" s="150"/>
      <c r="I65" s="1"/>
    </row>
    <row r="66" spans="2:9">
      <c r="B66" s="151"/>
      <c r="D66" s="143"/>
      <c r="E66" s="145"/>
      <c r="F66" s="149"/>
      <c r="G66" s="150"/>
      <c r="I66" s="1"/>
    </row>
    <row r="67" spans="2:9">
      <c r="B67" s="148"/>
      <c r="C67" s="1"/>
      <c r="D67" s="143"/>
      <c r="E67" s="145"/>
      <c r="F67" s="149"/>
      <c r="G67" s="150"/>
      <c r="I67" s="1"/>
    </row>
    <row r="68" spans="2:9">
      <c r="B68" s="148"/>
      <c r="D68" s="143"/>
      <c r="E68" s="145"/>
      <c r="F68" s="149"/>
      <c r="G68" s="150"/>
      <c r="I68" s="1"/>
    </row>
    <row r="69" spans="2:9">
      <c r="B69" s="148"/>
      <c r="D69" s="143"/>
      <c r="E69" s="145"/>
      <c r="F69" s="149"/>
      <c r="G69" s="150"/>
      <c r="I69" s="1"/>
    </row>
    <row r="70" spans="2:9">
      <c r="B70" s="148"/>
      <c r="D70" s="143"/>
      <c r="E70" s="145"/>
      <c r="F70" s="149"/>
      <c r="G70" s="150"/>
      <c r="I70" s="1"/>
    </row>
    <row r="71" spans="2:9">
      <c r="B71" s="148"/>
      <c r="C71" s="8"/>
      <c r="D71" s="143"/>
      <c r="E71" s="145"/>
      <c r="F71" s="149"/>
      <c r="G71" s="150"/>
      <c r="I71" s="1"/>
    </row>
    <row r="72" spans="2:9">
      <c r="B72" s="148"/>
      <c r="D72" s="143"/>
      <c r="E72" s="145"/>
      <c r="F72" s="149"/>
      <c r="G72" s="150"/>
      <c r="I72" s="1"/>
    </row>
    <row r="73" spans="2:9">
      <c r="B73" s="148"/>
      <c r="D73" s="143"/>
      <c r="E73" s="145"/>
      <c r="F73" s="149"/>
      <c r="G73" s="150"/>
      <c r="I73" s="1"/>
    </row>
    <row r="74" spans="2:9">
      <c r="B74" s="148"/>
      <c r="D74" s="143"/>
      <c r="E74" s="145"/>
      <c r="F74" s="149"/>
      <c r="G74" s="150"/>
      <c r="I74" s="1"/>
    </row>
    <row r="75" spans="2:9">
      <c r="B75" s="148"/>
      <c r="D75" s="143"/>
      <c r="E75" s="145"/>
      <c r="F75" s="149"/>
      <c r="G75" s="150"/>
      <c r="I75" s="1"/>
    </row>
    <row r="76" spans="2:9">
      <c r="B76" s="148"/>
      <c r="D76" s="143"/>
      <c r="E76" s="145"/>
      <c r="F76" s="149"/>
      <c r="G76" s="150"/>
      <c r="I76" s="1"/>
    </row>
    <row r="77" spans="2:9">
      <c r="B77" s="148"/>
      <c r="D77" s="143"/>
      <c r="E77" s="145"/>
      <c r="F77" s="149"/>
      <c r="G77" s="150"/>
      <c r="I77" s="1"/>
    </row>
    <row r="78" spans="2:9">
      <c r="B78" s="151"/>
      <c r="C78" s="1"/>
      <c r="D78" s="143"/>
      <c r="E78" s="145"/>
      <c r="F78" s="149"/>
      <c r="G78" s="150"/>
      <c r="I78" s="1"/>
    </row>
    <row r="79" spans="2:9">
      <c r="B79" s="148"/>
      <c r="C79" s="9"/>
      <c r="D79" s="143"/>
      <c r="E79" s="145"/>
      <c r="F79" s="149"/>
      <c r="G79" s="150"/>
      <c r="I79" s="1"/>
    </row>
    <row r="80" spans="2:9">
      <c r="B80" s="148"/>
      <c r="D80" s="143"/>
      <c r="E80" s="145"/>
      <c r="F80" s="149"/>
      <c r="G80" s="150"/>
      <c r="I80" s="1"/>
    </row>
    <row r="81" spans="2:9">
      <c r="B81" s="148"/>
      <c r="D81" s="143"/>
      <c r="E81" s="145"/>
      <c r="F81" s="149"/>
      <c r="G81" s="150"/>
      <c r="I81" s="1"/>
    </row>
    <row r="82" spans="2:9">
      <c r="B82" s="148"/>
      <c r="D82" s="143"/>
      <c r="E82" s="145"/>
      <c r="F82" s="149"/>
      <c r="G82" s="150"/>
      <c r="I82" s="1"/>
    </row>
    <row r="83" spans="2:9">
      <c r="B83" s="148"/>
      <c r="D83" s="143"/>
      <c r="E83" s="145"/>
      <c r="F83" s="149"/>
      <c r="G83" s="150"/>
      <c r="I83" s="1"/>
    </row>
    <row r="84" spans="2:9">
      <c r="B84" s="148"/>
      <c r="D84" s="143"/>
      <c r="E84" s="145"/>
      <c r="F84" s="149"/>
      <c r="G84" s="150"/>
      <c r="I84" s="1"/>
    </row>
    <row r="85" spans="2:9">
      <c r="B85" s="148"/>
      <c r="C85" s="9"/>
      <c r="D85" s="143"/>
      <c r="E85" s="145"/>
      <c r="F85" s="149"/>
      <c r="G85" s="150"/>
      <c r="I85" s="1"/>
    </row>
    <row r="86" spans="2:9">
      <c r="B86" s="148"/>
      <c r="C86" s="1"/>
      <c r="D86" s="143"/>
      <c r="E86" s="145"/>
      <c r="F86" s="149"/>
      <c r="G86" s="150"/>
      <c r="I86" s="1"/>
    </row>
    <row r="87" spans="2:9">
      <c r="B87" s="148"/>
      <c r="C87" s="9"/>
      <c r="D87" s="143"/>
      <c r="E87" s="145"/>
      <c r="F87" s="149"/>
      <c r="G87" s="150"/>
      <c r="I87" s="1"/>
    </row>
    <row r="88" spans="2:9">
      <c r="B88" s="148"/>
      <c r="C88" s="8"/>
      <c r="D88" s="143"/>
      <c r="E88" s="145"/>
      <c r="F88" s="149"/>
      <c r="G88" s="150"/>
      <c r="I88" s="1"/>
    </row>
    <row r="89" spans="2:9">
      <c r="B89" s="151"/>
      <c r="D89" s="143"/>
      <c r="E89" s="145"/>
      <c r="F89" s="149"/>
      <c r="G89" s="150"/>
      <c r="I89" s="1"/>
    </row>
    <row r="90" spans="2:9">
      <c r="B90" s="151"/>
      <c r="D90" s="143"/>
      <c r="E90" s="145"/>
      <c r="F90" s="149"/>
      <c r="G90" s="150"/>
      <c r="I90" s="1"/>
    </row>
    <row r="91" spans="2:9">
      <c r="B91" s="148"/>
      <c r="D91" s="143"/>
      <c r="E91" s="145"/>
      <c r="F91" s="149"/>
      <c r="G91" s="150"/>
      <c r="I91" s="1"/>
    </row>
    <row r="92" spans="2:9">
      <c r="B92" s="148"/>
      <c r="D92" s="143"/>
      <c r="E92" s="145"/>
      <c r="F92" s="149"/>
      <c r="G92" s="150"/>
      <c r="I92" s="1"/>
    </row>
    <row r="93" spans="2:9">
      <c r="B93" s="148"/>
      <c r="D93" s="143"/>
      <c r="E93" s="145"/>
      <c r="F93" s="149"/>
      <c r="G93" s="150"/>
      <c r="I93" s="1"/>
    </row>
    <row r="94" spans="2:9">
      <c r="B94" s="148"/>
      <c r="D94" s="143"/>
      <c r="E94" s="145"/>
      <c r="F94" s="149"/>
      <c r="G94" s="150"/>
      <c r="I94" s="1"/>
    </row>
    <row r="95" spans="2:9">
      <c r="B95" s="148"/>
      <c r="D95" s="143"/>
      <c r="E95" s="145"/>
      <c r="F95" s="149"/>
      <c r="G95" s="150"/>
      <c r="I95" s="1"/>
    </row>
    <row r="96" spans="2:9">
      <c r="B96" s="151"/>
      <c r="D96" s="143"/>
      <c r="E96" s="145"/>
      <c r="F96" s="149"/>
      <c r="G96" s="150"/>
      <c r="I96" s="1"/>
    </row>
    <row r="97" spans="2:9">
      <c r="B97" s="151"/>
      <c r="D97" s="143"/>
      <c r="E97" s="145"/>
      <c r="F97" s="149"/>
      <c r="G97" s="150"/>
      <c r="I97" s="1"/>
    </row>
    <row r="98" spans="2:9">
      <c r="B98" s="151"/>
      <c r="D98" s="143"/>
      <c r="E98" s="145"/>
      <c r="F98" s="149"/>
      <c r="G98" s="150"/>
      <c r="I98" s="1"/>
    </row>
    <row r="99" spans="2:9">
      <c r="B99" s="151"/>
      <c r="D99" s="143"/>
      <c r="E99" s="145"/>
      <c r="F99" s="149"/>
      <c r="G99" s="150"/>
      <c r="I99" s="1"/>
    </row>
    <row r="100" spans="2:9">
      <c r="B100" s="148"/>
      <c r="D100" s="143"/>
      <c r="E100" s="145"/>
      <c r="F100" s="149"/>
      <c r="G100" s="150"/>
      <c r="I100" s="1"/>
    </row>
    <row r="101" spans="2:9">
      <c r="B101" s="148"/>
      <c r="D101" s="143"/>
      <c r="E101" s="145"/>
      <c r="F101" s="149"/>
      <c r="G101" s="150"/>
      <c r="I101" s="1"/>
    </row>
    <row r="102" spans="2:9">
      <c r="B102" s="148"/>
      <c r="D102" s="143"/>
      <c r="E102" s="145"/>
      <c r="F102" s="149"/>
      <c r="G102" s="150"/>
      <c r="I102" s="1"/>
    </row>
    <row r="103" spans="2:9">
      <c r="B103" s="148"/>
      <c r="D103" s="143"/>
      <c r="E103" s="145"/>
      <c r="F103" s="149"/>
      <c r="G103" s="150"/>
      <c r="I103" s="1"/>
    </row>
    <row r="104" spans="2:9">
      <c r="B104" s="148"/>
      <c r="D104" s="143"/>
      <c r="E104" s="145"/>
      <c r="F104" s="149"/>
      <c r="G104" s="150"/>
      <c r="I104" s="1"/>
    </row>
    <row r="105" spans="2:9">
      <c r="B105" s="148"/>
      <c r="D105" s="143"/>
      <c r="E105" s="145"/>
      <c r="F105" s="149"/>
      <c r="G105" s="150"/>
      <c r="I105" s="1"/>
    </row>
    <row r="106" spans="2:9">
      <c r="B106" s="148"/>
      <c r="C106" s="1"/>
      <c r="D106" s="143"/>
      <c r="E106" s="145"/>
      <c r="F106" s="149"/>
      <c r="G106" s="150"/>
      <c r="I106" s="1"/>
    </row>
    <row r="107" spans="2:9">
      <c r="B107" s="148"/>
      <c r="D107" s="143"/>
      <c r="E107" s="145"/>
      <c r="F107" s="149"/>
      <c r="G107" s="150"/>
      <c r="I107" s="1"/>
    </row>
    <row r="108" spans="2:9">
      <c r="B108" s="148"/>
      <c r="D108" s="143"/>
      <c r="E108" s="145"/>
      <c r="F108" s="149"/>
      <c r="G108" s="150"/>
      <c r="I108" s="1"/>
    </row>
    <row r="109" spans="2:9">
      <c r="B109" s="148"/>
      <c r="D109" s="143"/>
      <c r="E109" s="145"/>
      <c r="F109" s="149"/>
      <c r="G109" s="150"/>
      <c r="I109" s="1"/>
    </row>
    <row r="110" spans="2:9">
      <c r="B110" s="148"/>
      <c r="D110" s="143"/>
      <c r="E110" s="145"/>
      <c r="F110" s="149"/>
      <c r="G110" s="150"/>
      <c r="I110" s="1"/>
    </row>
    <row r="111" spans="2:9">
      <c r="B111" s="148"/>
      <c r="D111" s="143"/>
      <c r="E111" s="145"/>
      <c r="F111" s="149"/>
      <c r="G111" s="150"/>
      <c r="I111" s="1"/>
    </row>
    <row r="112" spans="2:9">
      <c r="B112" s="148"/>
      <c r="D112" s="143"/>
      <c r="E112" s="145"/>
      <c r="F112" s="149"/>
      <c r="G112" s="150"/>
      <c r="I112" s="1"/>
    </row>
    <row r="113" spans="2:9">
      <c r="B113" s="148"/>
      <c r="D113" s="143"/>
      <c r="E113" s="145"/>
      <c r="F113" s="149"/>
      <c r="G113" s="150"/>
      <c r="I113" s="1"/>
    </row>
    <row r="114" spans="2:9">
      <c r="B114" s="148"/>
      <c r="D114" s="143"/>
      <c r="E114" s="145"/>
      <c r="F114" s="149"/>
      <c r="G114" s="150"/>
      <c r="I114" s="1"/>
    </row>
    <row r="115" spans="2:9">
      <c r="B115" s="148"/>
      <c r="D115" s="143"/>
      <c r="E115" s="145"/>
      <c r="F115" s="149"/>
      <c r="G115" s="150"/>
      <c r="I115" s="1"/>
    </row>
    <row r="116" spans="2:9">
      <c r="B116" s="148"/>
      <c r="D116" s="143"/>
      <c r="E116" s="145"/>
      <c r="F116" s="149"/>
      <c r="G116" s="150"/>
      <c r="I116" s="1"/>
    </row>
    <row r="117" spans="2:9">
      <c r="B117" s="151"/>
      <c r="D117" s="143"/>
      <c r="E117" s="145"/>
      <c r="F117" s="149"/>
      <c r="G117" s="150"/>
      <c r="I117" s="1"/>
    </row>
    <row r="118" spans="2:9">
      <c r="B118" s="148"/>
      <c r="D118" s="143"/>
      <c r="E118" s="145"/>
      <c r="F118" s="149"/>
      <c r="G118" s="150"/>
      <c r="I118" s="1"/>
    </row>
    <row r="119" spans="2:9">
      <c r="B119" s="148"/>
      <c r="C119" s="8"/>
      <c r="D119" s="143"/>
      <c r="E119" s="145"/>
      <c r="F119" s="149"/>
      <c r="G119" s="150"/>
      <c r="I119" s="1"/>
    </row>
    <row r="120" spans="2:9">
      <c r="B120" s="148"/>
      <c r="D120" s="143"/>
      <c r="E120" s="145"/>
      <c r="F120" s="149"/>
      <c r="G120" s="150"/>
      <c r="I120" s="1"/>
    </row>
    <row r="121" spans="2:9">
      <c r="B121" s="148"/>
      <c r="D121" s="143"/>
      <c r="E121" s="145"/>
      <c r="F121" s="149"/>
      <c r="G121" s="150"/>
      <c r="I121" s="1"/>
    </row>
    <row r="122" spans="2:9">
      <c r="B122" s="148"/>
      <c r="D122" s="143"/>
      <c r="E122" s="145"/>
      <c r="F122" s="149"/>
      <c r="G122" s="150"/>
      <c r="I122" s="1"/>
    </row>
    <row r="123" spans="2:9">
      <c r="B123" s="148"/>
      <c r="D123" s="143"/>
      <c r="E123" s="145"/>
      <c r="F123" s="149"/>
      <c r="G123" s="150"/>
      <c r="I123" s="1"/>
    </row>
    <row r="124" spans="2:9">
      <c r="B124" s="148"/>
      <c r="D124" s="143"/>
      <c r="E124" s="145"/>
      <c r="F124" s="149"/>
      <c r="G124" s="150"/>
      <c r="I124" s="1"/>
    </row>
    <row r="125" spans="2:9">
      <c r="B125" s="148"/>
      <c r="D125" s="143"/>
      <c r="E125" s="145"/>
      <c r="F125" s="149"/>
      <c r="G125" s="150"/>
      <c r="I125" s="1"/>
    </row>
    <row r="126" spans="2:9">
      <c r="B126" s="148"/>
      <c r="D126" s="143"/>
      <c r="E126" s="145"/>
      <c r="F126" s="149"/>
      <c r="G126" s="150"/>
      <c r="I126" s="1"/>
    </row>
    <row r="127" spans="2:9">
      <c r="B127" s="148"/>
      <c r="D127" s="143"/>
      <c r="E127" s="145"/>
      <c r="F127" s="149"/>
      <c r="G127" s="150"/>
      <c r="I127" s="1"/>
    </row>
    <row r="128" spans="2:9">
      <c r="B128" s="148"/>
      <c r="D128" s="143"/>
      <c r="E128" s="145"/>
      <c r="F128" s="149"/>
      <c r="G128" s="150"/>
      <c r="I128" s="1"/>
    </row>
    <row r="129" spans="2:9">
      <c r="B129" s="148"/>
      <c r="D129" s="143"/>
      <c r="E129" s="145"/>
      <c r="F129" s="149"/>
      <c r="G129" s="150"/>
      <c r="I129" s="1"/>
    </row>
    <row r="130" spans="2:9">
      <c r="B130" s="148"/>
      <c r="D130" s="143"/>
      <c r="E130" s="145"/>
      <c r="F130" s="149"/>
      <c r="G130" s="150"/>
      <c r="I130" s="1"/>
    </row>
    <row r="131" spans="2:9">
      <c r="B131" s="148"/>
      <c r="D131" s="143"/>
      <c r="E131" s="145"/>
      <c r="F131" s="149"/>
      <c r="G131" s="150"/>
      <c r="I131" s="1"/>
    </row>
    <row r="132" spans="2:9">
      <c r="B132" s="148"/>
      <c r="D132" s="143"/>
      <c r="E132" s="145"/>
      <c r="F132" s="149"/>
      <c r="G132" s="150"/>
      <c r="I132" s="1"/>
    </row>
    <row r="133" spans="2:9">
      <c r="B133" s="148"/>
      <c r="D133" s="143"/>
      <c r="E133" s="145"/>
      <c r="F133" s="149"/>
      <c r="G133" s="150"/>
      <c r="I133" s="1"/>
    </row>
    <row r="134" spans="2:9">
      <c r="B134" s="148"/>
      <c r="D134" s="143"/>
      <c r="E134" s="145"/>
      <c r="F134" s="149"/>
      <c r="G134" s="150"/>
      <c r="I134" s="1"/>
    </row>
    <row r="135" spans="2:9">
      <c r="B135" s="148"/>
      <c r="D135" s="143"/>
      <c r="E135" s="145"/>
      <c r="F135" s="149"/>
      <c r="G135" s="150"/>
      <c r="I135" s="1"/>
    </row>
    <row r="136" spans="2:9">
      <c r="B136" s="148"/>
      <c r="D136" s="143"/>
      <c r="E136" s="145"/>
      <c r="F136" s="149"/>
      <c r="G136" s="150"/>
      <c r="I136" s="1"/>
    </row>
    <row r="137" spans="2:9">
      <c r="B137" s="148"/>
      <c r="D137" s="143"/>
      <c r="E137" s="145"/>
      <c r="F137" s="149"/>
      <c r="G137" s="150"/>
      <c r="I137" s="1"/>
    </row>
    <row r="138" spans="2:9">
      <c r="B138" s="148"/>
      <c r="D138" s="143"/>
      <c r="E138" s="145"/>
      <c r="F138" s="149"/>
      <c r="G138" s="150"/>
      <c r="I138" s="1"/>
    </row>
    <row r="139" spans="2:9">
      <c r="B139" s="148"/>
      <c r="D139" s="143"/>
      <c r="E139" s="145"/>
      <c r="F139" s="149"/>
      <c r="G139" s="150"/>
      <c r="I139" s="1"/>
    </row>
    <row r="140" spans="2:9">
      <c r="B140" s="148"/>
      <c r="D140" s="143"/>
      <c r="E140" s="145"/>
      <c r="F140" s="149"/>
      <c r="G140" s="150"/>
      <c r="I140" s="1"/>
    </row>
    <row r="141" spans="2:9">
      <c r="F141" s="1"/>
      <c r="I141" s="1"/>
    </row>
    <row r="142" spans="2:9">
      <c r="F142" s="1"/>
      <c r="I142" s="1"/>
    </row>
    <row r="143" spans="2:9">
      <c r="F143" s="1"/>
      <c r="I143" s="1"/>
    </row>
    <row r="144" spans="2:9">
      <c r="F144" s="1"/>
      <c r="I144" s="1"/>
    </row>
    <row r="145" spans="2:9">
      <c r="F145" s="1"/>
      <c r="I145" s="1"/>
    </row>
    <row r="146" spans="2:9">
      <c r="B146" s="8"/>
      <c r="F146" s="1"/>
      <c r="I146" s="1"/>
    </row>
    <row r="147" spans="2:9">
      <c r="B147" s="8"/>
      <c r="F147" s="1"/>
      <c r="I147" s="1"/>
    </row>
    <row r="148" spans="2:9">
      <c r="F148" s="1"/>
      <c r="I148" s="1"/>
    </row>
    <row r="149" spans="2:9">
      <c r="F149" s="1"/>
      <c r="I149" s="1"/>
    </row>
    <row r="150" spans="2:9">
      <c r="F150" s="1"/>
      <c r="I150" s="1"/>
    </row>
    <row r="151" spans="2:9">
      <c r="F151" s="1"/>
      <c r="I151" s="1"/>
    </row>
    <row r="152" spans="2:9">
      <c r="F152" s="1"/>
      <c r="I152" s="1"/>
    </row>
    <row r="153" spans="2:9">
      <c r="F153" s="1"/>
      <c r="I153" s="1"/>
    </row>
    <row r="154" spans="2:9">
      <c r="F154" s="1"/>
      <c r="I154" s="1"/>
    </row>
    <row r="155" spans="2:9">
      <c r="F155" s="1"/>
      <c r="I155" s="1"/>
    </row>
    <row r="156" spans="2:9">
      <c r="F156" s="1"/>
      <c r="I156" s="1"/>
    </row>
    <row r="157" spans="2:9">
      <c r="F157" s="1"/>
      <c r="I157" s="1"/>
    </row>
    <row r="158" spans="2:9">
      <c r="F158" s="1"/>
      <c r="I158" s="1"/>
    </row>
    <row r="159" spans="2:9">
      <c r="F159" s="1"/>
      <c r="I159" s="1"/>
    </row>
    <row r="160" spans="2:9">
      <c r="F160" s="1"/>
      <c r="I160" s="1"/>
    </row>
    <row r="161" spans="6:9">
      <c r="F161" s="1"/>
      <c r="I161" s="1"/>
    </row>
    <row r="162" spans="6:9">
      <c r="F162" s="1"/>
      <c r="I162" s="1"/>
    </row>
    <row r="163" spans="6:9">
      <c r="F163" s="1"/>
      <c r="I163" s="1"/>
    </row>
    <row r="164" spans="6:9">
      <c r="F164" s="1"/>
      <c r="I164" s="1"/>
    </row>
    <row r="165" spans="6:9">
      <c r="F165" s="1"/>
      <c r="I165" s="1"/>
    </row>
    <row r="166" spans="6:9">
      <c r="F166" s="1"/>
      <c r="I166" s="1"/>
    </row>
    <row r="167" spans="6:9">
      <c r="F167" s="1"/>
      <c r="I167" s="1"/>
    </row>
    <row r="168" spans="6:9">
      <c r="F168" s="1"/>
      <c r="I168" s="1"/>
    </row>
    <row r="169" spans="6:9">
      <c r="F169" s="1"/>
      <c r="I169" s="1"/>
    </row>
    <row r="170" spans="6:9">
      <c r="F170" s="1"/>
      <c r="I170" s="1"/>
    </row>
    <row r="171" spans="6:9">
      <c r="F171" s="1"/>
      <c r="I171" s="1"/>
    </row>
    <row r="172" spans="6:9">
      <c r="F172" s="1"/>
      <c r="I172" s="1"/>
    </row>
    <row r="173" spans="6:9">
      <c r="F173" s="1"/>
      <c r="I173" s="1"/>
    </row>
    <row r="174" spans="6:9">
      <c r="F174" s="1"/>
      <c r="I174" s="1"/>
    </row>
    <row r="175" spans="6:9">
      <c r="F175" s="1"/>
      <c r="I175" s="1"/>
    </row>
    <row r="176" spans="6:9">
      <c r="F176" s="1"/>
      <c r="I176" s="1"/>
    </row>
    <row r="177" spans="6:9">
      <c r="F177" s="1"/>
      <c r="I177" s="1"/>
    </row>
    <row r="178" spans="6:9">
      <c r="F178" s="1"/>
      <c r="I178" s="1"/>
    </row>
    <row r="179" spans="6:9">
      <c r="F179" s="1"/>
      <c r="I179" s="1"/>
    </row>
    <row r="180" spans="6:9">
      <c r="F180" s="1"/>
      <c r="I180" s="1"/>
    </row>
    <row r="181" spans="6:9">
      <c r="F181" s="1"/>
      <c r="I181" s="1"/>
    </row>
    <row r="182" spans="6:9">
      <c r="F182" s="1"/>
      <c r="I182" s="1"/>
    </row>
    <row r="183" spans="6:9">
      <c r="F183" s="1"/>
      <c r="I183" s="1"/>
    </row>
    <row r="184" spans="6:9">
      <c r="F184" s="1"/>
      <c r="I184" s="1"/>
    </row>
    <row r="185" spans="6:9">
      <c r="F185" s="1"/>
      <c r="I185" s="1"/>
    </row>
    <row r="186" spans="6:9">
      <c r="F186" s="1"/>
      <c r="I186" s="1"/>
    </row>
    <row r="187" spans="6:9">
      <c r="F187" s="1"/>
      <c r="I187" s="1"/>
    </row>
    <row r="188" spans="6:9">
      <c r="F188" s="1"/>
      <c r="I188" s="1"/>
    </row>
    <row r="189" spans="6:9">
      <c r="F189" s="1"/>
      <c r="I189" s="1"/>
    </row>
    <row r="190" spans="6:9">
      <c r="F190" s="1"/>
      <c r="I190" s="1"/>
    </row>
    <row r="191" spans="6:9">
      <c r="F191" s="1"/>
      <c r="I191" s="1"/>
    </row>
    <row r="192" spans="6:9">
      <c r="F192" s="1"/>
      <c r="I192" s="1"/>
    </row>
    <row r="193" spans="6:9">
      <c r="F193" s="1"/>
      <c r="I193" s="1"/>
    </row>
    <row r="194" spans="6:9">
      <c r="F194" s="1"/>
      <c r="I194" s="1"/>
    </row>
    <row r="195" spans="6:9">
      <c r="F195" s="1"/>
      <c r="I195" s="1"/>
    </row>
    <row r="196" spans="6:9">
      <c r="F196" s="1"/>
      <c r="I196" s="1"/>
    </row>
    <row r="197" spans="6:9">
      <c r="F197" s="1"/>
      <c r="I197" s="1"/>
    </row>
    <row r="198" spans="6:9">
      <c r="F198" s="1"/>
      <c r="I198" s="1"/>
    </row>
    <row r="199" spans="6:9">
      <c r="F199" s="1"/>
      <c r="I199" s="1"/>
    </row>
    <row r="200" spans="6:9">
      <c r="F200" s="1"/>
      <c r="I200" s="1"/>
    </row>
    <row r="201" spans="6:9">
      <c r="F201" s="1"/>
      <c r="I201" s="1"/>
    </row>
    <row r="202" spans="6:9">
      <c r="F202" s="1"/>
      <c r="I202" s="1"/>
    </row>
    <row r="203" spans="6:9">
      <c r="F203" s="1"/>
      <c r="I203" s="1"/>
    </row>
    <row r="204" spans="6:9">
      <c r="F204" s="1"/>
      <c r="I204" s="1"/>
    </row>
    <row r="205" spans="6:9">
      <c r="F205" s="1"/>
      <c r="I205" s="1"/>
    </row>
    <row r="206" spans="6:9">
      <c r="F206" s="1"/>
      <c r="I206" s="1"/>
    </row>
    <row r="207" spans="6:9">
      <c r="F207" s="1"/>
      <c r="I207" s="1"/>
    </row>
    <row r="208" spans="6:9">
      <c r="F208" s="1"/>
      <c r="I208" s="1"/>
    </row>
    <row r="209" spans="6:9">
      <c r="F209" s="1"/>
      <c r="I209" s="1"/>
    </row>
    <row r="210" spans="6:9">
      <c r="F210" s="1"/>
      <c r="I210" s="1"/>
    </row>
    <row r="211" spans="6:9">
      <c r="F211" s="1"/>
      <c r="I211" s="1"/>
    </row>
    <row r="212" spans="6:9">
      <c r="F212" s="1"/>
      <c r="I212" s="1"/>
    </row>
    <row r="213" spans="6:9">
      <c r="F213" s="1"/>
      <c r="I213" s="1"/>
    </row>
    <row r="214" spans="6:9">
      <c r="F214" s="1"/>
      <c r="I214" s="1"/>
    </row>
    <row r="215" spans="6:9">
      <c r="F215" s="1"/>
      <c r="I215" s="1"/>
    </row>
    <row r="216" spans="6:9">
      <c r="F216" s="1"/>
      <c r="I216" s="1"/>
    </row>
    <row r="217" spans="6:9">
      <c r="F217" s="1"/>
      <c r="I217" s="1"/>
    </row>
    <row r="218" spans="6:9">
      <c r="F218" s="1"/>
      <c r="I218" s="1"/>
    </row>
    <row r="219" spans="6:9">
      <c r="F219" s="1"/>
      <c r="I219" s="1"/>
    </row>
    <row r="220" spans="6:9">
      <c r="F220" s="1"/>
      <c r="I220" s="1"/>
    </row>
    <row r="221" spans="6:9">
      <c r="F221" s="1"/>
      <c r="I221" s="1"/>
    </row>
    <row r="222" spans="6:9">
      <c r="F222" s="1"/>
      <c r="I222" s="1"/>
    </row>
    <row r="223" spans="6:9">
      <c r="F223" s="1"/>
      <c r="I223" s="1"/>
    </row>
    <row r="224" spans="6:9">
      <c r="F224" s="1"/>
      <c r="I224" s="1"/>
    </row>
    <row r="225" spans="6:9">
      <c r="F225" s="1"/>
      <c r="I225" s="1"/>
    </row>
    <row r="226" spans="6:9">
      <c r="F226" s="1"/>
      <c r="I226" s="1"/>
    </row>
    <row r="227" spans="6:9">
      <c r="F227" s="1"/>
      <c r="I227" s="1"/>
    </row>
    <row r="228" spans="6:9">
      <c r="F228" s="1"/>
      <c r="I228" s="1"/>
    </row>
    <row r="229" spans="6:9">
      <c r="F229" s="1"/>
      <c r="I229" s="1"/>
    </row>
    <row r="230" spans="6:9">
      <c r="F230" s="1"/>
      <c r="I230" s="1"/>
    </row>
    <row r="231" spans="6:9">
      <c r="F231" s="1"/>
      <c r="I231" s="1"/>
    </row>
    <row r="232" spans="6:9">
      <c r="F232" s="1"/>
      <c r="I232" s="1"/>
    </row>
    <row r="233" spans="6:9">
      <c r="F233" s="1"/>
      <c r="I233" s="1"/>
    </row>
    <row r="234" spans="6:9">
      <c r="F234" s="1"/>
      <c r="I234" s="1"/>
    </row>
    <row r="235" spans="6:9">
      <c r="F235" s="1"/>
      <c r="I235" s="1"/>
    </row>
    <row r="236" spans="6:9">
      <c r="F236" s="1"/>
      <c r="I236" s="1"/>
    </row>
    <row r="237" spans="6:9">
      <c r="F237" s="1"/>
      <c r="I237" s="1"/>
    </row>
    <row r="238" spans="6:9">
      <c r="F238" s="1"/>
      <c r="I238" s="1"/>
    </row>
    <row r="239" spans="6:9">
      <c r="F239" s="1"/>
      <c r="I239" s="1"/>
    </row>
    <row r="240" spans="6:9">
      <c r="F240" s="1"/>
      <c r="I240" s="1"/>
    </row>
    <row r="241" spans="6:9">
      <c r="F241" s="1"/>
      <c r="I241" s="1"/>
    </row>
    <row r="242" spans="6:9">
      <c r="F242" s="1"/>
      <c r="I242" s="1"/>
    </row>
    <row r="243" spans="6:9">
      <c r="F243" s="1"/>
      <c r="I243" s="1"/>
    </row>
    <row r="244" spans="6:9">
      <c r="F244" s="1"/>
      <c r="I244" s="1"/>
    </row>
    <row r="245" spans="6:9">
      <c r="F245" s="1"/>
      <c r="I245" s="1"/>
    </row>
    <row r="246" spans="6:9">
      <c r="F246" s="1"/>
      <c r="I246" s="1"/>
    </row>
    <row r="247" spans="6:9">
      <c r="F247" s="1"/>
      <c r="I247" s="1"/>
    </row>
    <row r="248" spans="6:9">
      <c r="F248" s="1"/>
      <c r="I248" s="1"/>
    </row>
    <row r="249" spans="6:9">
      <c r="F249" s="1"/>
      <c r="I249" s="1"/>
    </row>
    <row r="250" spans="6:9">
      <c r="F250" s="1"/>
      <c r="I250" s="1"/>
    </row>
    <row r="251" spans="6:9">
      <c r="F251" s="1"/>
      <c r="I251" s="1"/>
    </row>
    <row r="252" spans="6:9">
      <c r="F252" s="1"/>
      <c r="I252" s="1"/>
    </row>
    <row r="253" spans="6:9">
      <c r="F253" s="1"/>
      <c r="I253" s="1"/>
    </row>
    <row r="254" spans="6:9">
      <c r="F254" s="1"/>
      <c r="I254" s="1"/>
    </row>
    <row r="255" spans="6:9">
      <c r="F255" s="1"/>
      <c r="I255" s="1"/>
    </row>
    <row r="256" spans="6:9">
      <c r="F256" s="1"/>
      <c r="I256" s="1"/>
    </row>
    <row r="257" spans="6:9">
      <c r="F257" s="1"/>
      <c r="I257" s="1"/>
    </row>
    <row r="258" spans="6:9">
      <c r="F258" s="1"/>
      <c r="I258" s="1"/>
    </row>
    <row r="259" spans="6:9">
      <c r="F259" s="1"/>
      <c r="I259" s="1"/>
    </row>
    <row r="260" spans="6:9">
      <c r="F260" s="1"/>
      <c r="I260" s="1"/>
    </row>
    <row r="261" spans="6:9">
      <c r="F261" s="1"/>
      <c r="I261" s="1"/>
    </row>
    <row r="262" spans="6:9">
      <c r="F262" s="1"/>
      <c r="I262" s="1"/>
    </row>
    <row r="263" spans="6:9">
      <c r="F263" s="1"/>
      <c r="I263" s="1"/>
    </row>
    <row r="264" spans="6:9">
      <c r="F264" s="1"/>
      <c r="I264" s="1"/>
    </row>
    <row r="265" spans="6:9">
      <c r="F265" s="1"/>
      <c r="I265" s="1"/>
    </row>
    <row r="266" spans="6:9">
      <c r="F266" s="1"/>
      <c r="I266" s="1"/>
    </row>
    <row r="267" spans="6:9">
      <c r="F267" s="1"/>
      <c r="I267" s="1"/>
    </row>
    <row r="268" spans="6:9">
      <c r="F268" s="1"/>
      <c r="I268" s="1"/>
    </row>
    <row r="269" spans="6:9">
      <c r="F269" s="1"/>
      <c r="I269" s="1"/>
    </row>
    <row r="270" spans="6:9">
      <c r="F270" s="1"/>
      <c r="I270" s="1"/>
    </row>
    <row r="271" spans="6:9">
      <c r="F271" s="1"/>
      <c r="I271" s="1"/>
    </row>
    <row r="272" spans="6:9">
      <c r="F272" s="1"/>
      <c r="I272" s="1"/>
    </row>
    <row r="273" spans="6:9">
      <c r="F273" s="1"/>
      <c r="I273" s="1"/>
    </row>
    <row r="274" spans="6:9">
      <c r="F274" s="1"/>
      <c r="I274" s="1"/>
    </row>
    <row r="275" spans="6:9">
      <c r="F275" s="1"/>
      <c r="I275" s="1"/>
    </row>
    <row r="276" spans="6:9">
      <c r="F276" s="1"/>
      <c r="I276" s="1"/>
    </row>
    <row r="277" spans="6:9">
      <c r="F277" s="1"/>
      <c r="I277" s="1"/>
    </row>
    <row r="278" spans="6:9">
      <c r="F278" s="1"/>
      <c r="I278" s="1"/>
    </row>
    <row r="279" spans="6:9">
      <c r="F279" s="1"/>
      <c r="I279" s="1"/>
    </row>
    <row r="280" spans="6:9">
      <c r="F280" s="1"/>
      <c r="I280" s="1"/>
    </row>
    <row r="281" spans="6:9">
      <c r="F281" s="1"/>
      <c r="I281" s="1"/>
    </row>
    <row r="282" spans="6:9">
      <c r="F282" s="1"/>
      <c r="I282" s="1"/>
    </row>
    <row r="283" spans="6:9">
      <c r="F283" s="1"/>
      <c r="I283" s="1"/>
    </row>
    <row r="284" spans="6:9">
      <c r="F284" s="1"/>
      <c r="I284" s="1"/>
    </row>
    <row r="285" spans="6:9">
      <c r="F285" s="1"/>
      <c r="I285" s="1"/>
    </row>
    <row r="286" spans="6:9">
      <c r="F286" s="1"/>
      <c r="I286" s="1"/>
    </row>
    <row r="287" spans="6:9">
      <c r="F287" s="1"/>
      <c r="I287" s="1"/>
    </row>
    <row r="288" spans="6:9">
      <c r="F288" s="1"/>
      <c r="I288" s="1"/>
    </row>
    <row r="289" spans="6:9">
      <c r="F289" s="1"/>
      <c r="I289" s="1"/>
    </row>
    <row r="290" spans="6:9">
      <c r="F290" s="1"/>
      <c r="I290" s="1"/>
    </row>
    <row r="291" spans="6:9">
      <c r="F291" s="1"/>
      <c r="I291" s="1"/>
    </row>
    <row r="292" spans="6:9">
      <c r="F292" s="1"/>
      <c r="I292" s="1"/>
    </row>
    <row r="293" spans="6:9">
      <c r="F293" s="1"/>
      <c r="I293" s="1"/>
    </row>
    <row r="294" spans="6:9">
      <c r="F294" s="1"/>
      <c r="I294" s="1"/>
    </row>
    <row r="295" spans="6:9">
      <c r="F295" s="1"/>
      <c r="I295" s="1"/>
    </row>
    <row r="296" spans="6:9">
      <c r="F296" s="1"/>
      <c r="I296" s="1"/>
    </row>
    <row r="297" spans="6:9">
      <c r="F297" s="1"/>
      <c r="I297" s="1"/>
    </row>
    <row r="298" spans="6:9">
      <c r="F298" s="1"/>
      <c r="I298" s="1"/>
    </row>
    <row r="299" spans="6:9">
      <c r="F299" s="1"/>
      <c r="I299" s="1"/>
    </row>
    <row r="300" spans="6:9">
      <c r="F300" s="1"/>
      <c r="I300" s="1"/>
    </row>
    <row r="301" spans="6:9">
      <c r="F301" s="1"/>
      <c r="I301" s="1"/>
    </row>
    <row r="302" spans="6:9">
      <c r="F302" s="1"/>
      <c r="I302" s="1"/>
    </row>
    <row r="303" spans="6:9">
      <c r="F303" s="1"/>
      <c r="I303" s="1"/>
    </row>
    <row r="304" spans="6:9">
      <c r="F304" s="1"/>
      <c r="I304" s="1"/>
    </row>
    <row r="305" spans="6:9">
      <c r="F305" s="1"/>
      <c r="I305" s="1"/>
    </row>
    <row r="306" spans="6:9">
      <c r="F306" s="1"/>
      <c r="I306" s="1"/>
    </row>
    <row r="307" spans="6:9">
      <c r="F307" s="1"/>
      <c r="I307" s="1"/>
    </row>
    <row r="308" spans="6:9">
      <c r="F308" s="1"/>
      <c r="I308" s="1"/>
    </row>
    <row r="309" spans="6:9">
      <c r="F309" s="1"/>
      <c r="I309" s="1"/>
    </row>
    <row r="310" spans="6:9">
      <c r="F310" s="1"/>
      <c r="I310" s="1"/>
    </row>
    <row r="311" spans="6:9">
      <c r="F311" s="1"/>
      <c r="I311" s="1"/>
    </row>
    <row r="312" spans="6:9">
      <c r="F312" s="1"/>
      <c r="I312" s="1"/>
    </row>
    <row r="313" spans="6:9">
      <c r="F313" s="1"/>
      <c r="I313" s="1"/>
    </row>
    <row r="314" spans="6:9">
      <c r="F314" s="1"/>
      <c r="I314" s="1"/>
    </row>
    <row r="315" spans="6:9">
      <c r="F315" s="1"/>
      <c r="I315" s="1"/>
    </row>
    <row r="316" spans="6:9">
      <c r="F316" s="1"/>
      <c r="I316" s="1"/>
    </row>
    <row r="317" spans="6:9">
      <c r="F317" s="1"/>
      <c r="I317" s="1"/>
    </row>
    <row r="318" spans="6:9">
      <c r="F318" s="1"/>
      <c r="I318" s="1"/>
    </row>
    <row r="319" spans="6:9">
      <c r="F319" s="1"/>
      <c r="I319" s="1"/>
    </row>
    <row r="320" spans="6:9">
      <c r="F320" s="1"/>
      <c r="I320" s="1"/>
    </row>
    <row r="321" spans="6:9">
      <c r="F321" s="1"/>
      <c r="I321" s="1"/>
    </row>
    <row r="322" spans="6:9">
      <c r="F322" s="1"/>
      <c r="I322" s="1"/>
    </row>
    <row r="323" spans="6:9">
      <c r="F323" s="1"/>
      <c r="I323" s="1"/>
    </row>
    <row r="324" spans="6:9">
      <c r="F324" s="1"/>
      <c r="I324" s="1"/>
    </row>
    <row r="325" spans="6:9">
      <c r="F325" s="1"/>
      <c r="I325" s="1"/>
    </row>
    <row r="326" spans="6:9">
      <c r="F326" s="1"/>
      <c r="I326" s="1"/>
    </row>
    <row r="327" spans="6:9">
      <c r="F327" s="1"/>
      <c r="I327" s="1"/>
    </row>
    <row r="328" spans="6:9">
      <c r="F328" s="1"/>
      <c r="I328" s="1"/>
    </row>
    <row r="329" spans="6:9">
      <c r="F329" s="1"/>
      <c r="I329" s="1"/>
    </row>
    <row r="330" spans="6:9">
      <c r="F330" s="1"/>
      <c r="I330" s="1"/>
    </row>
    <row r="331" spans="6:9">
      <c r="F331" s="1"/>
      <c r="I331" s="1"/>
    </row>
    <row r="332" spans="6:9">
      <c r="F332" s="1"/>
      <c r="I332" s="1"/>
    </row>
    <row r="333" spans="6:9">
      <c r="F333" s="1"/>
      <c r="I333" s="1"/>
    </row>
    <row r="334" spans="6:9">
      <c r="F334" s="1"/>
      <c r="I334" s="1"/>
    </row>
    <row r="335" spans="6:9">
      <c r="F335" s="1"/>
      <c r="I335" s="1"/>
    </row>
    <row r="336" spans="6:9">
      <c r="F336" s="1"/>
      <c r="I336" s="1"/>
    </row>
    <row r="337" spans="6:9">
      <c r="F337" s="1"/>
      <c r="I337" s="1"/>
    </row>
    <row r="338" spans="6:9">
      <c r="F338" s="1"/>
      <c r="I338" s="1"/>
    </row>
    <row r="339" spans="6:9">
      <c r="F339" s="1"/>
      <c r="I339" s="1"/>
    </row>
    <row r="340" spans="6:9">
      <c r="F340" s="1"/>
      <c r="I340" s="1"/>
    </row>
    <row r="341" spans="6:9">
      <c r="F341" s="1"/>
      <c r="I341" s="1"/>
    </row>
    <row r="342" spans="6:9">
      <c r="F342" s="1"/>
      <c r="I342" s="1"/>
    </row>
    <row r="343" spans="6:9">
      <c r="F343" s="1"/>
      <c r="I343" s="1"/>
    </row>
    <row r="344" spans="6:9">
      <c r="F344" s="1"/>
      <c r="I344" s="1"/>
    </row>
    <row r="345" spans="6:9">
      <c r="F345" s="1"/>
      <c r="I345" s="1"/>
    </row>
    <row r="346" spans="6:9">
      <c r="F346" s="1"/>
      <c r="I346" s="1"/>
    </row>
    <row r="347" spans="6:9">
      <c r="F347" s="1"/>
      <c r="I347" s="1"/>
    </row>
    <row r="348" spans="6:9">
      <c r="F348" s="1"/>
      <c r="I348" s="1"/>
    </row>
    <row r="349" spans="6:9">
      <c r="F349" s="1"/>
      <c r="I349" s="1"/>
    </row>
    <row r="350" spans="6:9">
      <c r="F350" s="1"/>
      <c r="I350" s="1"/>
    </row>
    <row r="351" spans="6:9">
      <c r="F351" s="1"/>
      <c r="I351" s="1"/>
    </row>
    <row r="352" spans="6:9">
      <c r="F352" s="1"/>
      <c r="I352" s="1"/>
    </row>
    <row r="353" spans="6:9">
      <c r="F353" s="1"/>
      <c r="I353" s="1"/>
    </row>
    <row r="354" spans="6:9">
      <c r="F354" s="1"/>
      <c r="I354" s="1"/>
    </row>
    <row r="355" spans="6:9">
      <c r="F355" s="1"/>
      <c r="I355" s="1"/>
    </row>
    <row r="356" spans="6:9">
      <c r="F356" s="1"/>
      <c r="I356" s="1"/>
    </row>
    <row r="357" spans="6:9">
      <c r="F357" s="1"/>
      <c r="I357" s="1"/>
    </row>
    <row r="358" spans="6:9">
      <c r="F358" s="1"/>
      <c r="I358" s="1"/>
    </row>
    <row r="359" spans="6:9">
      <c r="F359" s="1"/>
      <c r="I359" s="1"/>
    </row>
    <row r="360" spans="6:9">
      <c r="F360" s="1"/>
      <c r="I360" s="1"/>
    </row>
    <row r="361" spans="6:9">
      <c r="F361" s="1"/>
      <c r="I361" s="1"/>
    </row>
    <row r="362" spans="6:9">
      <c r="F362" s="1"/>
      <c r="I362" s="1"/>
    </row>
    <row r="363" spans="6:9">
      <c r="F363" s="1"/>
      <c r="I363" s="1"/>
    </row>
    <row r="364" spans="6:9">
      <c r="F364" s="1"/>
      <c r="I364" s="1"/>
    </row>
    <row r="365" spans="6:9">
      <c r="F365" s="1"/>
      <c r="I365" s="1"/>
    </row>
    <row r="366" spans="6:9">
      <c r="F366" s="1"/>
      <c r="I366" s="1"/>
    </row>
    <row r="367" spans="6:9">
      <c r="F367" s="1"/>
      <c r="I367" s="1"/>
    </row>
    <row r="368" spans="6:9">
      <c r="F368" s="1"/>
      <c r="I368" s="1"/>
    </row>
    <row r="369" spans="6:9">
      <c r="F369" s="1"/>
      <c r="I369" s="1"/>
    </row>
    <row r="370" spans="6:9">
      <c r="F370" s="1"/>
      <c r="I370" s="1"/>
    </row>
    <row r="371" spans="6:9">
      <c r="F371" s="1"/>
      <c r="I371" s="1"/>
    </row>
    <row r="372" spans="6:9">
      <c r="F372" s="1"/>
      <c r="I372" s="1"/>
    </row>
    <row r="373" spans="6:9">
      <c r="F373" s="1"/>
      <c r="I373" s="1"/>
    </row>
    <row r="374" spans="6:9">
      <c r="F374" s="1"/>
      <c r="I374" s="1"/>
    </row>
    <row r="375" spans="6:9">
      <c r="F375" s="1"/>
      <c r="I375" s="1"/>
    </row>
    <row r="376" spans="6:9">
      <c r="F376" s="1"/>
      <c r="I376" s="1"/>
    </row>
    <row r="377" spans="6:9">
      <c r="F377" s="1"/>
      <c r="I377" s="1"/>
    </row>
    <row r="378" spans="6:9">
      <c r="F378" s="1"/>
      <c r="I378" s="1"/>
    </row>
    <row r="379" spans="6:9">
      <c r="F379" s="1"/>
      <c r="I379" s="1"/>
    </row>
    <row r="380" spans="6:9">
      <c r="F380" s="1"/>
      <c r="I380" s="1"/>
    </row>
    <row r="381" spans="6:9">
      <c r="F381" s="1"/>
      <c r="I381" s="1"/>
    </row>
    <row r="382" spans="6:9">
      <c r="F382" s="1"/>
      <c r="I382" s="1"/>
    </row>
    <row r="383" spans="6:9">
      <c r="F383" s="1"/>
      <c r="I383" s="1"/>
    </row>
    <row r="384" spans="6:9">
      <c r="F384" s="1"/>
      <c r="I384" s="1"/>
    </row>
    <row r="385" spans="6:9">
      <c r="F385" s="1"/>
      <c r="I385" s="1"/>
    </row>
    <row r="386" spans="6:9">
      <c r="F386" s="1"/>
      <c r="I386" s="1"/>
    </row>
    <row r="387" spans="6:9">
      <c r="F387" s="1"/>
      <c r="I387" s="1"/>
    </row>
    <row r="388" spans="6:9">
      <c r="F388" s="1"/>
      <c r="I388" s="1"/>
    </row>
    <row r="389" spans="6:9">
      <c r="F389" s="1"/>
      <c r="I389" s="1"/>
    </row>
    <row r="390" spans="6:9">
      <c r="F390" s="1"/>
      <c r="I390" s="1"/>
    </row>
    <row r="391" spans="6:9">
      <c r="F391" s="1"/>
      <c r="I391" s="1"/>
    </row>
    <row r="392" spans="6:9">
      <c r="F392" s="1"/>
      <c r="I392" s="1"/>
    </row>
    <row r="393" spans="6:9">
      <c r="F393" s="1"/>
      <c r="I393" s="1"/>
    </row>
    <row r="394" spans="6:9">
      <c r="F394" s="1"/>
      <c r="I394" s="1"/>
    </row>
    <row r="395" spans="6:9">
      <c r="F395" s="1"/>
      <c r="I395" s="1"/>
    </row>
    <row r="396" spans="6:9">
      <c r="F396" s="1"/>
      <c r="I396" s="1"/>
    </row>
    <row r="397" spans="6:9">
      <c r="F397" s="1"/>
      <c r="I397" s="1"/>
    </row>
    <row r="398" spans="6:9">
      <c r="F398" s="1"/>
      <c r="I398" s="1"/>
    </row>
    <row r="399" spans="6:9">
      <c r="F399" s="1"/>
      <c r="I399" s="1"/>
    </row>
    <row r="400" spans="6:9">
      <c r="F400" s="1"/>
      <c r="I400" s="1"/>
    </row>
    <row r="401" spans="6:9">
      <c r="F401" s="1"/>
      <c r="I401" s="1"/>
    </row>
    <row r="402" spans="6:9">
      <c r="F402" s="1"/>
      <c r="I402" s="1"/>
    </row>
    <row r="403" spans="6:9">
      <c r="F403" s="1"/>
      <c r="I403" s="1"/>
    </row>
    <row r="404" spans="6:9">
      <c r="F404" s="1"/>
      <c r="I404" s="1"/>
    </row>
    <row r="405" spans="6:9">
      <c r="F405" s="1"/>
      <c r="I405" s="1"/>
    </row>
    <row r="406" spans="6:9">
      <c r="F406" s="1"/>
      <c r="I406" s="1"/>
    </row>
    <row r="407" spans="6:9">
      <c r="F407" s="1"/>
      <c r="I407" s="1"/>
    </row>
    <row r="408" spans="6:9">
      <c r="F408" s="1"/>
      <c r="I408" s="1"/>
    </row>
    <row r="409" spans="6:9">
      <c r="F409" s="1"/>
      <c r="I409" s="1"/>
    </row>
    <row r="410" spans="6:9">
      <c r="F410" s="1"/>
      <c r="I410" s="1"/>
    </row>
    <row r="411" spans="6:9">
      <c r="F411" s="1"/>
      <c r="I411" s="1"/>
    </row>
    <row r="412" spans="6:9">
      <c r="F412" s="1"/>
      <c r="I412" s="1"/>
    </row>
    <row r="413" spans="6:9">
      <c r="F413" s="1"/>
      <c r="I413" s="1"/>
    </row>
    <row r="414" spans="6:9">
      <c r="F414" s="1"/>
      <c r="I414" s="1"/>
    </row>
    <row r="415" spans="6:9">
      <c r="F415" s="1"/>
      <c r="I415" s="1"/>
    </row>
    <row r="416" spans="6:9">
      <c r="F416" s="1"/>
      <c r="I416" s="1"/>
    </row>
    <row r="417" spans="6:9">
      <c r="F417" s="1"/>
      <c r="I417" s="1"/>
    </row>
    <row r="418" spans="6:9">
      <c r="F418" s="1"/>
      <c r="I418" s="1"/>
    </row>
    <row r="419" spans="6:9">
      <c r="F419" s="1"/>
      <c r="I419" s="1"/>
    </row>
    <row r="420" spans="6:9">
      <c r="F420" s="1"/>
      <c r="I420" s="1"/>
    </row>
    <row r="421" spans="6:9">
      <c r="F421" s="1"/>
      <c r="I421" s="1"/>
    </row>
    <row r="422" spans="6:9">
      <c r="F422" s="1"/>
      <c r="I422" s="1"/>
    </row>
    <row r="423" spans="6:9">
      <c r="F423" s="1"/>
      <c r="I423" s="1"/>
    </row>
    <row r="424" spans="6:9">
      <c r="F424" s="1"/>
      <c r="I424" s="1"/>
    </row>
    <row r="425" spans="6:9">
      <c r="F425" s="1"/>
      <c r="I425" s="1"/>
    </row>
    <row r="426" spans="6:9">
      <c r="F426" s="1"/>
      <c r="I426" s="1"/>
    </row>
    <row r="427" spans="6:9">
      <c r="F427" s="1"/>
      <c r="I427" s="1"/>
    </row>
    <row r="428" spans="6:9">
      <c r="F428" s="1"/>
      <c r="I428" s="1"/>
    </row>
    <row r="429" spans="6:9">
      <c r="F429" s="1"/>
      <c r="I429" s="1"/>
    </row>
    <row r="430" spans="6:9">
      <c r="F430" s="1"/>
      <c r="I430" s="1"/>
    </row>
    <row r="431" spans="6:9">
      <c r="F431" s="1"/>
      <c r="I431" s="1"/>
    </row>
    <row r="432" spans="6:9">
      <c r="F432" s="1"/>
      <c r="I432" s="1"/>
    </row>
    <row r="433" spans="6:9">
      <c r="F433" s="1"/>
      <c r="I433" s="1"/>
    </row>
    <row r="434" spans="6:9">
      <c r="F434" s="1"/>
      <c r="I434" s="1"/>
    </row>
    <row r="435" spans="6:9">
      <c r="F435" s="1"/>
      <c r="I435" s="1"/>
    </row>
    <row r="436" spans="6:9">
      <c r="F436" s="1"/>
      <c r="I436" s="1"/>
    </row>
    <row r="437" spans="6:9">
      <c r="F437" s="1"/>
      <c r="I437" s="1"/>
    </row>
    <row r="438" spans="6:9">
      <c r="F438" s="1"/>
      <c r="I438" s="1"/>
    </row>
    <row r="439" spans="6:9">
      <c r="F439" s="1"/>
      <c r="I439" s="1"/>
    </row>
    <row r="440" spans="6:9">
      <c r="F440" s="1"/>
      <c r="I440" s="1"/>
    </row>
    <row r="441" spans="6:9">
      <c r="F441" s="1"/>
      <c r="I441" s="1"/>
    </row>
    <row r="442" spans="6:9">
      <c r="F442" s="1"/>
      <c r="I442" s="1"/>
    </row>
    <row r="443" spans="6:9">
      <c r="F443" s="1"/>
      <c r="I443" s="1"/>
    </row>
    <row r="444" spans="6:9">
      <c r="F444" s="1"/>
      <c r="I444" s="1"/>
    </row>
    <row r="445" spans="6:9">
      <c r="F445" s="1"/>
      <c r="I445" s="1"/>
    </row>
    <row r="446" spans="6:9">
      <c r="F446" s="1"/>
      <c r="I446" s="1"/>
    </row>
    <row r="447" spans="6:9">
      <c r="F447" s="1"/>
      <c r="I447" s="1"/>
    </row>
    <row r="448" spans="6:9">
      <c r="F448" s="1"/>
      <c r="I448" s="1"/>
    </row>
    <row r="449" spans="6:9">
      <c r="F449" s="1"/>
      <c r="I449" s="1"/>
    </row>
    <row r="450" spans="6:9">
      <c r="F450" s="1"/>
      <c r="I450" s="1"/>
    </row>
    <row r="451" spans="6:9">
      <c r="F451" s="1"/>
      <c r="I451" s="1"/>
    </row>
    <row r="452" spans="6:9">
      <c r="F452" s="1"/>
      <c r="I452" s="1"/>
    </row>
    <row r="453" spans="6:9">
      <c r="F453" s="1"/>
      <c r="I453" s="1"/>
    </row>
    <row r="454" spans="6:9">
      <c r="F454" s="1"/>
      <c r="I454" s="1"/>
    </row>
    <row r="455" spans="6:9">
      <c r="F455" s="1"/>
      <c r="I455" s="1"/>
    </row>
    <row r="456" spans="6:9">
      <c r="F456" s="1"/>
      <c r="I456" s="1"/>
    </row>
    <row r="457" spans="6:9">
      <c r="F457" s="1"/>
      <c r="I457" s="1"/>
    </row>
    <row r="458" spans="6:9">
      <c r="F458" s="1"/>
      <c r="I458" s="1"/>
    </row>
    <row r="459" spans="6:9">
      <c r="F459" s="1"/>
      <c r="I459" s="1"/>
    </row>
    <row r="460" spans="6:9">
      <c r="F460" s="1"/>
      <c r="I460" s="1"/>
    </row>
    <row r="461" spans="6:9">
      <c r="F461" s="1"/>
      <c r="I461" s="1"/>
    </row>
    <row r="462" spans="6:9">
      <c r="F462" s="1"/>
      <c r="I462" s="1"/>
    </row>
    <row r="463" spans="6:9">
      <c r="F463" s="1"/>
      <c r="I463" s="1"/>
    </row>
    <row r="464" spans="6:9">
      <c r="F464" s="1"/>
      <c r="I464" s="1"/>
    </row>
    <row r="465" spans="6:9">
      <c r="F465" s="1"/>
      <c r="I465" s="1"/>
    </row>
    <row r="466" spans="6:9">
      <c r="F466" s="1"/>
      <c r="I466" s="1"/>
    </row>
    <row r="467" spans="6:9">
      <c r="F467" s="1"/>
      <c r="I467" s="1"/>
    </row>
    <row r="468" spans="6:9">
      <c r="F468" s="1"/>
      <c r="I468" s="1"/>
    </row>
    <row r="469" spans="6:9">
      <c r="F469" s="1"/>
      <c r="I469" s="1"/>
    </row>
    <row r="470" spans="6:9">
      <c r="F470" s="1"/>
      <c r="I470" s="1"/>
    </row>
    <row r="471" spans="6:9">
      <c r="F471" s="1"/>
      <c r="I471" s="1"/>
    </row>
    <row r="472" spans="6:9">
      <c r="F472" s="1"/>
      <c r="I472" s="1"/>
    </row>
    <row r="473" spans="6:9">
      <c r="F473" s="1"/>
      <c r="I473" s="1"/>
    </row>
    <row r="474" spans="6:9">
      <c r="F474" s="1"/>
      <c r="I474" s="1"/>
    </row>
    <row r="475" spans="6:9">
      <c r="F475" s="1"/>
      <c r="I475" s="1"/>
    </row>
    <row r="476" spans="6:9">
      <c r="F476" s="1"/>
      <c r="I476" s="1"/>
    </row>
    <row r="477" spans="6:9">
      <c r="F477" s="1"/>
      <c r="I477" s="1"/>
    </row>
    <row r="478" spans="6:9">
      <c r="F478" s="1"/>
      <c r="I478" s="1"/>
    </row>
    <row r="479" spans="6:9">
      <c r="F479" s="1"/>
      <c r="I479" s="1"/>
    </row>
    <row r="480" spans="6:9">
      <c r="F480" s="1"/>
      <c r="I480" s="1"/>
    </row>
    <row r="481" spans="6:9">
      <c r="F481" s="1"/>
      <c r="I481" s="1"/>
    </row>
    <row r="482" spans="6:9">
      <c r="F482" s="1"/>
      <c r="I482" s="1"/>
    </row>
    <row r="483" spans="6:9">
      <c r="F483" s="1"/>
      <c r="I483" s="1"/>
    </row>
    <row r="484" spans="6:9">
      <c r="F484" s="1"/>
      <c r="I484" s="1"/>
    </row>
    <row r="485" spans="6:9">
      <c r="F485" s="1"/>
      <c r="I485" s="1"/>
    </row>
    <row r="486" spans="6:9">
      <c r="F486" s="1"/>
      <c r="I486" s="1"/>
    </row>
    <row r="487" spans="6:9">
      <c r="F487" s="1"/>
      <c r="I487" s="1"/>
    </row>
    <row r="488" spans="6:9">
      <c r="F488" s="1"/>
      <c r="I488" s="1"/>
    </row>
    <row r="489" spans="6:9">
      <c r="F489" s="1"/>
      <c r="I489" s="1"/>
    </row>
    <row r="490" spans="6:9">
      <c r="F490" s="1"/>
      <c r="I490" s="1"/>
    </row>
    <row r="491" spans="6:9">
      <c r="F491" s="1"/>
      <c r="I491" s="1"/>
    </row>
    <row r="492" spans="6:9">
      <c r="F492" s="1"/>
      <c r="I492" s="1"/>
    </row>
    <row r="493" spans="6:9">
      <c r="F493" s="1"/>
      <c r="I493" s="1"/>
    </row>
    <row r="494" spans="6:9">
      <c r="F494" s="1"/>
      <c r="I494" s="1"/>
    </row>
    <row r="495" spans="6:9">
      <c r="F495" s="1"/>
      <c r="I495" s="1"/>
    </row>
    <row r="496" spans="6:9">
      <c r="F496" s="1"/>
      <c r="I496" s="1"/>
    </row>
    <row r="497" spans="6:9">
      <c r="F497" s="1"/>
      <c r="I497" s="1"/>
    </row>
    <row r="498" spans="6:9">
      <c r="F498" s="1"/>
      <c r="I498" s="1"/>
    </row>
    <row r="499" spans="6:9">
      <c r="F499" s="1"/>
      <c r="I499" s="1"/>
    </row>
    <row r="500" spans="6:9">
      <c r="F500" s="1"/>
      <c r="I500" s="1"/>
    </row>
    <row r="501" spans="6:9">
      <c r="F501" s="1"/>
      <c r="I501" s="1"/>
    </row>
    <row r="502" spans="6:9">
      <c r="F502" s="1"/>
      <c r="I502" s="1"/>
    </row>
    <row r="503" spans="6:9">
      <c r="F503" s="1"/>
      <c r="I503" s="1"/>
    </row>
    <row r="504" spans="6:9">
      <c r="F504" s="1"/>
      <c r="I504" s="1"/>
    </row>
    <row r="505" spans="6:9">
      <c r="F505" s="1"/>
      <c r="I505" s="1"/>
    </row>
    <row r="506" spans="6:9">
      <c r="F506" s="1"/>
      <c r="I506" s="1"/>
    </row>
    <row r="507" spans="6:9">
      <c r="F507" s="1"/>
      <c r="I507" s="1"/>
    </row>
    <row r="508" spans="6:9">
      <c r="F508" s="1"/>
      <c r="I508" s="1"/>
    </row>
    <row r="509" spans="6:9">
      <c r="F509" s="1"/>
      <c r="I509" s="1"/>
    </row>
    <row r="510" spans="6:9">
      <c r="F510" s="1"/>
      <c r="I510" s="1"/>
    </row>
    <row r="511" spans="6:9">
      <c r="F511" s="1"/>
      <c r="I511" s="1"/>
    </row>
    <row r="512" spans="6:9">
      <c r="F512" s="1"/>
      <c r="I512" s="1"/>
    </row>
    <row r="513" spans="6:9">
      <c r="F513" s="1"/>
      <c r="I513" s="1"/>
    </row>
    <row r="514" spans="6:9">
      <c r="F514" s="1"/>
      <c r="I514" s="1"/>
    </row>
    <row r="515" spans="6:9">
      <c r="F515" s="1"/>
      <c r="I515" s="1"/>
    </row>
    <row r="516" spans="6:9">
      <c r="F516" s="1"/>
      <c r="I516" s="1"/>
    </row>
    <row r="517" spans="6:9">
      <c r="F517" s="1"/>
      <c r="I517" s="1"/>
    </row>
    <row r="518" spans="6:9">
      <c r="F518" s="1"/>
      <c r="I518" s="1"/>
    </row>
    <row r="519" spans="6:9">
      <c r="F519" s="1"/>
      <c r="I519" s="1"/>
    </row>
    <row r="520" spans="6:9">
      <c r="F520" s="1"/>
      <c r="I520" s="1"/>
    </row>
    <row r="521" spans="6:9">
      <c r="F521" s="1"/>
      <c r="I521" s="1"/>
    </row>
    <row r="522" spans="6:9">
      <c r="F522" s="1"/>
      <c r="I522" s="1"/>
    </row>
    <row r="523" spans="6:9">
      <c r="F523" s="1"/>
      <c r="I523" s="1"/>
    </row>
    <row r="524" spans="6:9">
      <c r="F524" s="1"/>
      <c r="I524" s="1"/>
    </row>
    <row r="525" spans="6:9">
      <c r="F525" s="1"/>
      <c r="I525" s="1"/>
    </row>
    <row r="526" spans="6:9">
      <c r="F526" s="1"/>
      <c r="I526" s="1"/>
    </row>
    <row r="527" spans="6:9">
      <c r="F527" s="1"/>
      <c r="I527" s="1"/>
    </row>
    <row r="528" spans="6:9">
      <c r="F528" s="1"/>
      <c r="I528" s="1"/>
    </row>
    <row r="529" spans="6:9">
      <c r="F529" s="1"/>
      <c r="I529" s="1"/>
    </row>
    <row r="530" spans="6:9">
      <c r="F530" s="1"/>
      <c r="I530" s="1"/>
    </row>
    <row r="531" spans="6:9">
      <c r="F531" s="1"/>
      <c r="I531" s="1"/>
    </row>
    <row r="532" spans="6:9">
      <c r="F532" s="1"/>
      <c r="I532" s="1"/>
    </row>
    <row r="533" spans="6:9">
      <c r="F533" s="1"/>
      <c r="I533" s="1"/>
    </row>
    <row r="534" spans="6:9">
      <c r="F534" s="1"/>
      <c r="I534" s="1"/>
    </row>
    <row r="535" spans="6:9">
      <c r="F535" s="1"/>
      <c r="I535" s="1"/>
    </row>
    <row r="536" spans="6:9">
      <c r="F536" s="1"/>
      <c r="I536" s="1"/>
    </row>
    <row r="537" spans="6:9">
      <c r="F537" s="1"/>
      <c r="I537" s="1"/>
    </row>
    <row r="538" spans="6:9">
      <c r="F538" s="1"/>
      <c r="I538" s="1"/>
    </row>
    <row r="539" spans="6:9">
      <c r="F539" s="1"/>
      <c r="I539" s="1"/>
    </row>
    <row r="540" spans="6:9">
      <c r="F540" s="1"/>
      <c r="I540" s="1"/>
    </row>
    <row r="541" spans="6:9">
      <c r="F541" s="1"/>
      <c r="I541" s="1"/>
    </row>
    <row r="542" spans="6:9">
      <c r="F542" s="1"/>
      <c r="I542" s="1"/>
    </row>
    <row r="543" spans="6:9">
      <c r="F543" s="1"/>
      <c r="I543" s="1"/>
    </row>
    <row r="544" spans="6:9">
      <c r="F544" s="1"/>
      <c r="I544" s="1"/>
    </row>
    <row r="545" spans="6:9">
      <c r="F545" s="1"/>
      <c r="I545" s="1"/>
    </row>
    <row r="546" spans="6:9">
      <c r="F546" s="1"/>
      <c r="I546" s="1"/>
    </row>
    <row r="547" spans="6:9">
      <c r="F547" s="1"/>
      <c r="I547" s="1"/>
    </row>
    <row r="548" spans="6:9">
      <c r="F548" s="1"/>
      <c r="I548" s="1"/>
    </row>
    <row r="549" spans="6:9">
      <c r="F549" s="1"/>
      <c r="I549" s="1"/>
    </row>
    <row r="550" spans="6:9">
      <c r="F550" s="1"/>
      <c r="I550" s="1"/>
    </row>
    <row r="551" spans="6:9">
      <c r="F551" s="1"/>
      <c r="I551" s="1"/>
    </row>
    <row r="552" spans="6:9">
      <c r="F552" s="1"/>
      <c r="I552" s="1"/>
    </row>
    <row r="553" spans="6:9">
      <c r="F553" s="1"/>
      <c r="I553" s="1"/>
    </row>
    <row r="554" spans="6:9">
      <c r="F554" s="1"/>
      <c r="I554" s="1"/>
    </row>
    <row r="555" spans="6:9">
      <c r="F555" s="1"/>
      <c r="I555" s="1"/>
    </row>
    <row r="556" spans="6:9">
      <c r="F556" s="1"/>
      <c r="I556" s="1"/>
    </row>
    <row r="557" spans="6:9">
      <c r="F557" s="1"/>
      <c r="I557" s="1"/>
    </row>
    <row r="558" spans="6:9">
      <c r="F558" s="1"/>
      <c r="I558" s="1"/>
    </row>
    <row r="559" spans="6:9">
      <c r="F559" s="1"/>
      <c r="I559" s="1"/>
    </row>
    <row r="560" spans="6:9">
      <c r="F560" s="1"/>
      <c r="I560" s="1"/>
    </row>
    <row r="561" spans="6:9">
      <c r="F561" s="1"/>
      <c r="I561" s="1"/>
    </row>
    <row r="562" spans="6:9">
      <c r="F562" s="1"/>
      <c r="I562" s="1"/>
    </row>
    <row r="563" spans="6:9">
      <c r="F563" s="1"/>
      <c r="I563" s="1"/>
    </row>
    <row r="564" spans="6:9">
      <c r="F564" s="1"/>
      <c r="I564" s="1"/>
    </row>
    <row r="565" spans="6:9">
      <c r="F565" s="1"/>
      <c r="I565" s="1"/>
    </row>
    <row r="566" spans="6:9">
      <c r="F566" s="1"/>
      <c r="I566" s="1"/>
    </row>
    <row r="567" spans="6:9">
      <c r="F567" s="1"/>
      <c r="I567" s="1"/>
    </row>
    <row r="568" spans="6:9">
      <c r="F568" s="1"/>
      <c r="I568" s="1"/>
    </row>
    <row r="569" spans="6:9">
      <c r="F569" s="1"/>
      <c r="I569" s="1"/>
    </row>
    <row r="570" spans="6:9">
      <c r="F570" s="1"/>
      <c r="I570" s="1"/>
    </row>
    <row r="571" spans="6:9">
      <c r="F571" s="1"/>
      <c r="I571" s="1"/>
    </row>
    <row r="572" spans="6:9">
      <c r="F572" s="1"/>
      <c r="I572" s="1"/>
    </row>
    <row r="573" spans="6:9">
      <c r="F573" s="1"/>
      <c r="I573" s="1"/>
    </row>
    <row r="574" spans="6:9">
      <c r="F574" s="1"/>
      <c r="I574" s="1"/>
    </row>
    <row r="575" spans="6:9">
      <c r="F575" s="1"/>
      <c r="I575" s="1"/>
    </row>
    <row r="576" spans="6:9">
      <c r="F576" s="1"/>
      <c r="I576" s="1"/>
    </row>
    <row r="577" spans="6:9">
      <c r="F577" s="1"/>
      <c r="I577" s="1"/>
    </row>
    <row r="578" spans="6:9">
      <c r="F578" s="1"/>
      <c r="I578" s="1"/>
    </row>
    <row r="579" spans="6:9">
      <c r="F579" s="1"/>
      <c r="I579" s="1"/>
    </row>
    <row r="580" spans="6:9">
      <c r="F580" s="1"/>
      <c r="I580" s="1"/>
    </row>
    <row r="581" spans="6:9">
      <c r="F581" s="1"/>
      <c r="I581" s="1"/>
    </row>
    <row r="582" spans="6:9">
      <c r="F582" s="1"/>
      <c r="I582" s="1"/>
    </row>
    <row r="583" spans="6:9">
      <c r="F583" s="1"/>
      <c r="I583" s="1"/>
    </row>
    <row r="584" spans="6:9">
      <c r="F584" s="1"/>
      <c r="I584" s="1"/>
    </row>
    <row r="585" spans="6:9">
      <c r="F585" s="1"/>
      <c r="I585" s="1"/>
    </row>
    <row r="586" spans="6:9">
      <c r="F586" s="1"/>
      <c r="I586" s="1"/>
    </row>
    <row r="587" spans="6:9">
      <c r="F587" s="1"/>
      <c r="I587" s="1"/>
    </row>
    <row r="588" spans="6:9">
      <c r="F588" s="1"/>
      <c r="I588" s="1"/>
    </row>
    <row r="589" spans="6:9">
      <c r="F589" s="1"/>
      <c r="I589" s="1"/>
    </row>
    <row r="590" spans="6:9">
      <c r="F590" s="1"/>
      <c r="I590" s="1"/>
    </row>
    <row r="591" spans="6:9">
      <c r="F591" s="1"/>
      <c r="I591" s="1"/>
    </row>
    <row r="592" spans="6:9">
      <c r="F592" s="1"/>
      <c r="I592" s="1"/>
    </row>
    <row r="593" spans="6:9">
      <c r="F593" s="1"/>
      <c r="I593" s="1"/>
    </row>
    <row r="594" spans="6:9">
      <c r="F594" s="1"/>
      <c r="I594" s="1"/>
    </row>
    <row r="595" spans="6:9">
      <c r="F595" s="1"/>
      <c r="I595" s="1"/>
    </row>
    <row r="596" spans="6:9">
      <c r="F596" s="1"/>
      <c r="I596" s="1"/>
    </row>
    <row r="597" spans="6:9">
      <c r="F597" s="1"/>
      <c r="I597" s="1"/>
    </row>
    <row r="598" spans="6:9">
      <c r="F598" s="1"/>
      <c r="I598" s="1"/>
    </row>
    <row r="599" spans="6:9">
      <c r="F599" s="1"/>
      <c r="I599" s="1"/>
    </row>
    <row r="600" spans="6:9">
      <c r="F600" s="1"/>
      <c r="I600" s="1"/>
    </row>
    <row r="601" spans="6:9">
      <c r="F601" s="1"/>
      <c r="I601" s="1"/>
    </row>
    <row r="602" spans="6:9">
      <c r="F602" s="1"/>
      <c r="I602" s="1"/>
    </row>
    <row r="603" spans="6:9">
      <c r="F603" s="1"/>
      <c r="I603" s="1"/>
    </row>
    <row r="604" spans="6:9">
      <c r="F604" s="1"/>
      <c r="I604" s="1"/>
    </row>
    <row r="605" spans="6:9">
      <c r="F605" s="1"/>
      <c r="I605" s="1"/>
    </row>
    <row r="606" spans="6:9">
      <c r="F606" s="1"/>
      <c r="I606" s="1"/>
    </row>
    <row r="607" spans="6:9">
      <c r="F607" s="1"/>
      <c r="I607" s="1"/>
    </row>
    <row r="608" spans="6:9">
      <c r="F608" s="1"/>
      <c r="I608" s="1"/>
    </row>
    <row r="609" spans="6:9">
      <c r="F609" s="1"/>
      <c r="I609" s="1"/>
    </row>
    <row r="610" spans="6:9">
      <c r="F610" s="1"/>
      <c r="I610" s="1"/>
    </row>
    <row r="611" spans="6:9">
      <c r="F611" s="1"/>
      <c r="I611" s="1"/>
    </row>
    <row r="612" spans="6:9">
      <c r="F612" s="1"/>
      <c r="I612" s="1"/>
    </row>
    <row r="613" spans="6:9">
      <c r="F613" s="1"/>
      <c r="I613" s="1"/>
    </row>
    <row r="614" spans="6:9">
      <c r="F614" s="1"/>
      <c r="I614" s="1"/>
    </row>
    <row r="615" spans="6:9">
      <c r="F615" s="1"/>
      <c r="I615" s="1"/>
    </row>
    <row r="616" spans="6:9">
      <c r="F616" s="1"/>
      <c r="I616" s="1"/>
    </row>
    <row r="617" spans="6:9">
      <c r="F617" s="1"/>
      <c r="I617" s="1"/>
    </row>
    <row r="618" spans="6:9">
      <c r="F618" s="1"/>
      <c r="I618" s="1"/>
    </row>
    <row r="619" spans="6:9">
      <c r="F619" s="1"/>
      <c r="I619" s="1"/>
    </row>
    <row r="620" spans="6:9">
      <c r="F620" s="1"/>
      <c r="I620" s="1"/>
    </row>
    <row r="621" spans="6:9">
      <c r="F621" s="1"/>
      <c r="I621" s="1"/>
    </row>
    <row r="622" spans="6:9">
      <c r="F622" s="1"/>
      <c r="I622" s="1"/>
    </row>
    <row r="623" spans="6:9">
      <c r="F623" s="1"/>
      <c r="I623" s="1"/>
    </row>
    <row r="624" spans="6:9">
      <c r="F624" s="1"/>
      <c r="I624" s="1"/>
    </row>
    <row r="625" spans="6:9">
      <c r="F625" s="1"/>
      <c r="I625" s="1"/>
    </row>
    <row r="626" spans="6:9">
      <c r="F626" s="1"/>
      <c r="I626" s="1"/>
    </row>
    <row r="627" spans="6:9">
      <c r="F627" s="1"/>
      <c r="I627" s="1"/>
    </row>
    <row r="628" spans="6:9">
      <c r="F628" s="1"/>
      <c r="I628" s="1"/>
    </row>
    <row r="629" spans="6:9">
      <c r="F629" s="1"/>
      <c r="I629" s="1"/>
    </row>
    <row r="630" spans="6:9">
      <c r="F630" s="1"/>
      <c r="I630" s="1"/>
    </row>
    <row r="631" spans="6:9">
      <c r="F631" s="1"/>
      <c r="I631" s="1"/>
    </row>
    <row r="632" spans="6:9">
      <c r="F632" s="1"/>
      <c r="I632" s="1"/>
    </row>
    <row r="633" spans="6:9">
      <c r="F633" s="1"/>
      <c r="I633" s="1"/>
    </row>
    <row r="634" spans="6:9">
      <c r="F634" s="1"/>
      <c r="I634" s="1"/>
    </row>
    <row r="635" spans="6:9">
      <c r="F635" s="1"/>
      <c r="I635" s="1"/>
    </row>
    <row r="636" spans="6:9">
      <c r="F636" s="1"/>
      <c r="I636" s="1"/>
    </row>
    <row r="637" spans="6:9">
      <c r="F637" s="1"/>
      <c r="I637" s="1"/>
    </row>
    <row r="638" spans="6:9">
      <c r="F638" s="1"/>
      <c r="I638" s="1"/>
    </row>
    <row r="639" spans="6:9">
      <c r="F639" s="1"/>
      <c r="I639" s="1"/>
    </row>
    <row r="640" spans="6:9">
      <c r="F640" s="1"/>
      <c r="I640" s="1"/>
    </row>
    <row r="641" spans="6:9">
      <c r="F641" s="1"/>
      <c r="I641" s="1"/>
    </row>
    <row r="642" spans="6:9">
      <c r="F642" s="1"/>
      <c r="I642" s="1"/>
    </row>
    <row r="643" spans="6:9">
      <c r="F643" s="1"/>
      <c r="I643" s="1"/>
    </row>
    <row r="644" spans="6:9">
      <c r="F644" s="1"/>
      <c r="I644" s="1"/>
    </row>
    <row r="645" spans="6:9">
      <c r="F645" s="1"/>
      <c r="I645" s="1"/>
    </row>
    <row r="646" spans="6:9">
      <c r="F646" s="1"/>
      <c r="I646" s="1"/>
    </row>
    <row r="647" spans="6:9">
      <c r="F647" s="1"/>
      <c r="I647" s="1"/>
    </row>
    <row r="648" spans="6:9">
      <c r="F648" s="1"/>
      <c r="I648" s="1"/>
    </row>
    <row r="649" spans="6:9">
      <c r="F649" s="1"/>
      <c r="I649" s="1"/>
    </row>
    <row r="650" spans="6:9">
      <c r="F650" s="1"/>
      <c r="I650" s="1"/>
    </row>
    <row r="651" spans="6:9">
      <c r="F651" s="1"/>
      <c r="I651" s="1"/>
    </row>
    <row r="652" spans="6:9">
      <c r="F652" s="1"/>
      <c r="I652" s="1"/>
    </row>
    <row r="653" spans="6:9">
      <c r="F653" s="1"/>
      <c r="I653" s="1"/>
    </row>
    <row r="654" spans="6:9">
      <c r="F654" s="1"/>
      <c r="I654" s="1"/>
    </row>
    <row r="655" spans="6:9">
      <c r="F655" s="1"/>
      <c r="I655" s="1"/>
    </row>
    <row r="656" spans="6:9">
      <c r="F656" s="1"/>
      <c r="I656" s="1"/>
    </row>
    <row r="657" spans="6:9">
      <c r="F657" s="1"/>
      <c r="I657" s="1"/>
    </row>
    <row r="658" spans="6:9">
      <c r="F658" s="1"/>
      <c r="I658" s="1"/>
    </row>
    <row r="659" spans="6:9">
      <c r="F659" s="1"/>
      <c r="I659" s="1"/>
    </row>
    <row r="660" spans="6:9">
      <c r="F660" s="1"/>
      <c r="I660" s="1"/>
    </row>
    <row r="661" spans="6:9">
      <c r="F661" s="1"/>
      <c r="I661" s="1"/>
    </row>
    <row r="662" spans="6:9">
      <c r="F662" s="1"/>
      <c r="I662" s="1"/>
    </row>
    <row r="663" spans="6:9">
      <c r="F663" s="1"/>
      <c r="I663" s="1"/>
    </row>
    <row r="664" spans="6:9">
      <c r="F664" s="1"/>
      <c r="I664" s="1"/>
    </row>
    <row r="665" spans="6:9">
      <c r="F665" s="1"/>
      <c r="I665" s="1"/>
    </row>
    <row r="666" spans="6:9">
      <c r="F666" s="1"/>
      <c r="I666" s="1"/>
    </row>
    <row r="667" spans="6:9">
      <c r="F667" s="1"/>
      <c r="I667" s="1"/>
    </row>
    <row r="668" spans="6:9">
      <c r="F668" s="1"/>
      <c r="I668" s="1"/>
    </row>
    <row r="669" spans="6:9">
      <c r="F669" s="1"/>
      <c r="I669" s="1"/>
    </row>
    <row r="670" spans="6:9">
      <c r="F670" s="1"/>
      <c r="I670" s="1"/>
    </row>
    <row r="671" spans="6:9">
      <c r="F671" s="1"/>
      <c r="I671" s="1"/>
    </row>
    <row r="672" spans="6:9">
      <c r="F672" s="1"/>
      <c r="I672" s="1"/>
    </row>
    <row r="673" spans="6:9">
      <c r="F673" s="1"/>
      <c r="I673" s="1"/>
    </row>
    <row r="674" spans="6:9">
      <c r="F674" s="1"/>
      <c r="I674" s="1"/>
    </row>
    <row r="675" spans="6:9">
      <c r="F675" s="1"/>
      <c r="I675" s="1"/>
    </row>
    <row r="676" spans="6:9">
      <c r="F676" s="1"/>
      <c r="I676" s="1"/>
    </row>
    <row r="677" spans="6:9">
      <c r="F677" s="1"/>
      <c r="I677" s="1"/>
    </row>
    <row r="678" spans="6:9">
      <c r="F678" s="1"/>
      <c r="I678" s="1"/>
    </row>
    <row r="679" spans="6:9">
      <c r="F679" s="1"/>
      <c r="I679" s="1"/>
    </row>
    <row r="680" spans="6:9">
      <c r="F680" s="1"/>
      <c r="I680" s="1"/>
    </row>
    <row r="681" spans="6:9">
      <c r="F681" s="1"/>
      <c r="I681" s="1"/>
    </row>
    <row r="682" spans="6:9">
      <c r="F682" s="1"/>
      <c r="I682" s="1"/>
    </row>
    <row r="683" spans="6:9">
      <c r="F683" s="1"/>
      <c r="I683" s="1"/>
    </row>
    <row r="684" spans="6:9">
      <c r="F684" s="1"/>
      <c r="I684" s="1"/>
    </row>
    <row r="685" spans="6:9">
      <c r="F685" s="1"/>
      <c r="I685" s="1"/>
    </row>
    <row r="686" spans="6:9">
      <c r="F686" s="1"/>
      <c r="I686" s="1"/>
    </row>
    <row r="687" spans="6:9">
      <c r="F687" s="1"/>
      <c r="I687" s="1"/>
    </row>
    <row r="688" spans="6:9">
      <c r="F688" s="1"/>
      <c r="I688" s="1"/>
    </row>
    <row r="689" spans="6:9">
      <c r="F689" s="1"/>
      <c r="I689" s="1"/>
    </row>
    <row r="690" spans="6:9">
      <c r="F690" s="1"/>
      <c r="I690" s="1"/>
    </row>
    <row r="691" spans="6:9">
      <c r="F691" s="1"/>
      <c r="I691" s="1"/>
    </row>
    <row r="692" spans="6:9">
      <c r="F692" s="1"/>
      <c r="I692" s="1"/>
    </row>
    <row r="693" spans="6:9">
      <c r="F693" s="1"/>
      <c r="I693" s="1"/>
    </row>
    <row r="694" spans="6:9">
      <c r="F694" s="1"/>
      <c r="I694" s="1"/>
    </row>
    <row r="695" spans="6:9">
      <c r="F695" s="1"/>
      <c r="I695" s="1"/>
    </row>
    <row r="696" spans="6:9">
      <c r="F696" s="1"/>
      <c r="I696" s="1"/>
    </row>
    <row r="697" spans="6:9">
      <c r="F697" s="1"/>
      <c r="I697" s="1"/>
    </row>
    <row r="698" spans="6:9">
      <c r="F698" s="1"/>
      <c r="I698" s="1"/>
    </row>
    <row r="699" spans="6:9">
      <c r="F699" s="1"/>
      <c r="I699" s="1"/>
    </row>
    <row r="700" spans="6:9">
      <c r="F700" s="1"/>
      <c r="I700" s="1"/>
    </row>
    <row r="701" spans="6:9">
      <c r="F701" s="1"/>
      <c r="I701" s="1"/>
    </row>
    <row r="702" spans="6:9">
      <c r="F702" s="1"/>
      <c r="I702" s="1"/>
    </row>
    <row r="703" spans="6:9">
      <c r="F703" s="1"/>
      <c r="I703" s="1"/>
    </row>
    <row r="704" spans="6:9">
      <c r="F704" s="1"/>
      <c r="I704" s="1"/>
    </row>
    <row r="705" spans="6:9">
      <c r="F705" s="1"/>
      <c r="I705" s="1"/>
    </row>
    <row r="706" spans="6:9">
      <c r="F706" s="1"/>
      <c r="I706" s="1"/>
    </row>
    <row r="707" spans="6:9">
      <c r="F707" s="1"/>
      <c r="I707" s="1"/>
    </row>
    <row r="708" spans="6:9">
      <c r="F708" s="1"/>
      <c r="I708" s="1"/>
    </row>
    <row r="709" spans="6:9">
      <c r="F709" s="1"/>
      <c r="I709" s="1"/>
    </row>
    <row r="710" spans="6:9">
      <c r="F710" s="1"/>
      <c r="I710" s="1"/>
    </row>
    <row r="711" spans="6:9">
      <c r="F711" s="1"/>
      <c r="I711" s="1"/>
    </row>
    <row r="712" spans="6:9">
      <c r="F712" s="1"/>
      <c r="I712" s="1"/>
    </row>
    <row r="713" spans="6:9">
      <c r="F713" s="1"/>
      <c r="I713" s="1"/>
    </row>
    <row r="714" spans="6:9">
      <c r="F714" s="1"/>
      <c r="I714" s="1"/>
    </row>
    <row r="715" spans="6:9">
      <c r="F715" s="1"/>
      <c r="I715" s="1"/>
    </row>
    <row r="716" spans="6:9">
      <c r="F716" s="1"/>
      <c r="I716" s="1"/>
    </row>
    <row r="717" spans="6:9">
      <c r="F717" s="1"/>
      <c r="I717" s="1"/>
    </row>
    <row r="718" spans="6:9">
      <c r="F718" s="1"/>
      <c r="I718" s="1"/>
    </row>
    <row r="719" spans="6:9">
      <c r="F719" s="1"/>
      <c r="I719" s="1"/>
    </row>
    <row r="720" spans="6:9">
      <c r="F720" s="1"/>
      <c r="I720" s="1"/>
    </row>
    <row r="721" spans="6:9">
      <c r="F721" s="1"/>
      <c r="I721" s="1"/>
    </row>
    <row r="722" spans="6:9">
      <c r="F722" s="1"/>
      <c r="I722" s="1"/>
    </row>
    <row r="723" spans="6:9">
      <c r="F723" s="1"/>
      <c r="I723" s="1"/>
    </row>
    <row r="724" spans="6:9">
      <c r="F724" s="1"/>
      <c r="I724" s="1"/>
    </row>
    <row r="725" spans="6:9">
      <c r="F725" s="1"/>
      <c r="I725" s="1"/>
    </row>
  </sheetData>
  <sortState xmlns:xlrd2="http://schemas.microsoft.com/office/spreadsheetml/2017/richdata2" ref="A5:B30">
    <sortCondition ref="A5"/>
    <sortCondition ref="B5"/>
  </sortState>
  <dataConsolidate/>
  <phoneticPr fontId="8" type="noConversion"/>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B10"/>
  <sheetViews>
    <sheetView workbookViewId="0">
      <selection activeCell="C22" sqref="C22"/>
    </sheetView>
  </sheetViews>
  <sheetFormatPr defaultColWidth="8.875" defaultRowHeight="15.75"/>
  <cols>
    <col min="1" max="1" width="11" customWidth="1"/>
    <col min="2" max="2" width="23.125" bestFit="1" customWidth="1"/>
  </cols>
  <sheetData>
    <row r="1" spans="1:2">
      <c r="B1" t="s">
        <v>227</v>
      </c>
    </row>
    <row r="3" spans="1:2">
      <c r="B3" t="s">
        <v>219</v>
      </c>
    </row>
    <row r="4" spans="1:2">
      <c r="A4" t="s">
        <v>224</v>
      </c>
      <c r="B4" t="s">
        <v>220</v>
      </c>
    </row>
    <row r="5" spans="1:2">
      <c r="A5" t="s">
        <v>224</v>
      </c>
      <c r="B5" t="s">
        <v>221</v>
      </c>
    </row>
    <row r="6" spans="1:2">
      <c r="A6" t="s">
        <v>225</v>
      </c>
      <c r="B6" t="s">
        <v>222</v>
      </c>
    </row>
    <row r="7" spans="1:2">
      <c r="A7" t="s">
        <v>225</v>
      </c>
      <c r="B7" t="s">
        <v>223</v>
      </c>
    </row>
    <row r="8" spans="1:2">
      <c r="A8" t="s">
        <v>225</v>
      </c>
      <c r="B8" t="s">
        <v>94</v>
      </c>
    </row>
    <row r="9" spans="1:2">
      <c r="A9" t="s">
        <v>225</v>
      </c>
      <c r="B9" t="s">
        <v>95</v>
      </c>
    </row>
    <row r="10" spans="1:2">
      <c r="A10" t="s">
        <v>225</v>
      </c>
      <c r="B10" t="s">
        <v>76</v>
      </c>
    </row>
  </sheetData>
  <dataConsolidate/>
  <phoneticPr fontId="8"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BJ6"/>
  <sheetViews>
    <sheetView workbookViewId="0">
      <selection activeCell="C22" sqref="C22"/>
    </sheetView>
  </sheetViews>
  <sheetFormatPr defaultColWidth="8.875" defaultRowHeight="15.75"/>
  <cols>
    <col min="1" max="1" width="8.875" customWidth="1"/>
    <col min="2" max="14" width="12" style="13" customWidth="1"/>
    <col min="15" max="17" width="8.875" customWidth="1"/>
    <col min="18" max="30" width="12" style="13" customWidth="1"/>
    <col min="31" max="33" width="8.875" customWidth="1"/>
    <col min="34" max="46" width="12" style="13" customWidth="1"/>
    <col min="47" max="49" width="8.875" customWidth="1"/>
    <col min="50" max="62" width="12" style="13" customWidth="1"/>
  </cols>
  <sheetData>
    <row r="1" spans="1:62">
      <c r="A1" t="s">
        <v>459</v>
      </c>
      <c r="B1" s="13" t="s">
        <v>199</v>
      </c>
      <c r="C1" s="13" t="s">
        <v>200</v>
      </c>
      <c r="D1" s="13" t="s">
        <v>201</v>
      </c>
      <c r="E1" s="13" t="s">
        <v>202</v>
      </c>
      <c r="F1" s="13" t="s">
        <v>203</v>
      </c>
      <c r="G1" s="13" t="s">
        <v>204</v>
      </c>
      <c r="H1" s="13" t="s">
        <v>205</v>
      </c>
      <c r="I1" s="13" t="s">
        <v>208</v>
      </c>
      <c r="J1" s="13" t="s">
        <v>209</v>
      </c>
      <c r="K1" s="13" t="s">
        <v>210</v>
      </c>
      <c r="L1" s="13" t="s">
        <v>211</v>
      </c>
      <c r="M1" s="13" t="s">
        <v>212</v>
      </c>
      <c r="N1" s="13" t="s">
        <v>213</v>
      </c>
      <c r="Q1" t="s">
        <v>458</v>
      </c>
      <c r="R1" s="13" t="s">
        <v>199</v>
      </c>
      <c r="S1" s="13" t="s">
        <v>200</v>
      </c>
      <c r="T1" s="13" t="s">
        <v>201</v>
      </c>
      <c r="U1" s="13" t="s">
        <v>202</v>
      </c>
      <c r="V1" s="13" t="s">
        <v>203</v>
      </c>
      <c r="W1" s="13" t="s">
        <v>204</v>
      </c>
      <c r="X1" s="13" t="s">
        <v>205</v>
      </c>
      <c r="Y1" s="13" t="s">
        <v>208</v>
      </c>
      <c r="Z1" s="13" t="s">
        <v>209</v>
      </c>
      <c r="AA1" s="13" t="s">
        <v>210</v>
      </c>
      <c r="AB1" s="13" t="s">
        <v>211</v>
      </c>
      <c r="AC1" s="13" t="s">
        <v>212</v>
      </c>
      <c r="AD1" s="13" t="s">
        <v>213</v>
      </c>
      <c r="AG1" t="s">
        <v>123</v>
      </c>
      <c r="AH1" s="13" t="s">
        <v>199</v>
      </c>
      <c r="AI1" s="13" t="s">
        <v>200</v>
      </c>
      <c r="AJ1" s="13" t="s">
        <v>201</v>
      </c>
      <c r="AK1" s="13" t="s">
        <v>202</v>
      </c>
      <c r="AL1" s="13" t="s">
        <v>203</v>
      </c>
      <c r="AM1" s="13" t="s">
        <v>204</v>
      </c>
      <c r="AN1" s="13" t="s">
        <v>205</v>
      </c>
      <c r="AO1" s="13" t="s">
        <v>208</v>
      </c>
      <c r="AP1" s="13" t="s">
        <v>209</v>
      </c>
      <c r="AQ1" s="13" t="s">
        <v>210</v>
      </c>
      <c r="AR1" s="13" t="s">
        <v>211</v>
      </c>
      <c r="AS1" s="13" t="s">
        <v>212</v>
      </c>
      <c r="AT1" s="13" t="s">
        <v>213</v>
      </c>
      <c r="AW1" t="s">
        <v>124</v>
      </c>
      <c r="AX1" s="13" t="s">
        <v>199</v>
      </c>
      <c r="AY1" s="13" t="s">
        <v>200</v>
      </c>
      <c r="AZ1" s="13" t="s">
        <v>201</v>
      </c>
      <c r="BA1" s="13" t="s">
        <v>202</v>
      </c>
      <c r="BB1" s="13" t="s">
        <v>203</v>
      </c>
      <c r="BC1" s="13" t="s">
        <v>204</v>
      </c>
      <c r="BD1" s="13" t="s">
        <v>205</v>
      </c>
      <c r="BE1" s="13" t="s">
        <v>208</v>
      </c>
      <c r="BF1" s="13" t="s">
        <v>209</v>
      </c>
      <c r="BG1" s="13" t="s">
        <v>210</v>
      </c>
      <c r="BH1" s="13" t="s">
        <v>211</v>
      </c>
      <c r="BI1" s="13" t="s">
        <v>212</v>
      </c>
      <c r="BJ1" s="13" t="s">
        <v>213</v>
      </c>
    </row>
    <row r="2" spans="1:62">
      <c r="A2">
        <v>2006</v>
      </c>
      <c r="K2" s="13">
        <v>8.6E-3</v>
      </c>
      <c r="L2" s="13">
        <v>7.9000000000000008E-3</v>
      </c>
      <c r="M2" s="13">
        <v>1.7600000000000001E-2</v>
      </c>
      <c r="N2" s="13">
        <f>T_NAV!N2</f>
        <v>3.4450000000000092E-2</v>
      </c>
      <c r="Q2">
        <v>2006</v>
      </c>
      <c r="AA2" s="13">
        <v>4.4999999999999997E-3</v>
      </c>
      <c r="AB2" s="13">
        <v>2.6800000000000001E-2</v>
      </c>
      <c r="AC2" s="13">
        <v>3.3000000000000002E-2</v>
      </c>
      <c r="AD2" s="13">
        <f>T_NAV!AD2</f>
        <v>6.5450000000000008E-2</v>
      </c>
      <c r="AG2">
        <v>2006</v>
      </c>
      <c r="AQ2" s="13">
        <v>7.3499999999999996E-2</v>
      </c>
      <c r="AR2" s="13">
        <v>1.8E-3</v>
      </c>
      <c r="AS2" s="13">
        <v>5.96E-2</v>
      </c>
      <c r="AT2" s="13">
        <f>T_NAV!AT2</f>
        <v>-2.0049999999999901E-2</v>
      </c>
      <c r="AW2">
        <v>2006</v>
      </c>
      <c r="BG2" s="13">
        <v>0</v>
      </c>
      <c r="BH2" s="13">
        <v>0</v>
      </c>
      <c r="BI2" s="13">
        <v>0</v>
      </c>
      <c r="BJ2" s="13">
        <f>T_NAV!BJ2</f>
        <v>0</v>
      </c>
    </row>
    <row r="3" spans="1:62">
      <c r="A3">
        <v>2007</v>
      </c>
      <c r="B3" s="13">
        <v>5.9999999999999995E-4</v>
      </c>
      <c r="C3" s="13">
        <v>2.1000000000000001E-2</v>
      </c>
      <c r="D3" s="13">
        <v>1.7500000000000002E-2</v>
      </c>
      <c r="E3" s="13">
        <v>1.66E-2</v>
      </c>
      <c r="F3" s="13">
        <v>4.3400000000000001E-2</v>
      </c>
      <c r="G3" s="13">
        <v>3.85E-2</v>
      </c>
      <c r="H3" s="13">
        <v>6.8599999999999994E-2</v>
      </c>
      <c r="I3" s="13">
        <v>1.83E-2</v>
      </c>
      <c r="J3" s="13">
        <v>2.0400000000000001E-2</v>
      </c>
      <c r="K3" s="13">
        <v>5.7999999999999996E-3</v>
      </c>
      <c r="L3" s="13">
        <v>3.5200000000000002E-2</v>
      </c>
      <c r="M3" s="13">
        <v>2.6100000000000002E-2</v>
      </c>
      <c r="N3" s="13">
        <f>T_NAV!N3</f>
        <v>-0.10329160423413408</v>
      </c>
      <c r="Q3">
        <v>2007</v>
      </c>
      <c r="R3" s="13">
        <v>3.2000000000000002E-3</v>
      </c>
      <c r="S3" s="13">
        <v>3.5999999999999999E-3</v>
      </c>
      <c r="T3" s="13">
        <v>0.1178</v>
      </c>
      <c r="U3" s="13">
        <v>7.9399999999999998E-2</v>
      </c>
      <c r="V3" s="13">
        <v>1.5E-3</v>
      </c>
      <c r="W3" s="13">
        <v>1.9099999999999999E-2</v>
      </c>
      <c r="X3" s="13">
        <v>0.12690000000000001</v>
      </c>
      <c r="Y3" s="13">
        <v>9.9400000000000002E-2</v>
      </c>
      <c r="Z3" s="13">
        <v>7.1099999999999997E-2</v>
      </c>
      <c r="AA3" s="13">
        <v>6.6500000000000004E-2</v>
      </c>
      <c r="AB3" s="13">
        <v>6.3E-2</v>
      </c>
      <c r="AC3" s="13">
        <v>1.8200000000000001E-2</v>
      </c>
      <c r="AD3" s="13">
        <f>T_NAV!AD3</f>
        <v>0.49294664226383222</v>
      </c>
      <c r="AG3">
        <v>2007</v>
      </c>
      <c r="AH3" s="13">
        <v>9.8599999999999993E-2</v>
      </c>
      <c r="AI3" s="13">
        <v>0.7742</v>
      </c>
      <c r="AJ3" s="13">
        <v>5.0599999999999999E-2</v>
      </c>
      <c r="AK3" s="13">
        <v>2.87E-2</v>
      </c>
      <c r="AL3" s="13">
        <v>8.2299999999999998E-2</v>
      </c>
      <c r="AM3" s="13">
        <v>0.2437</v>
      </c>
      <c r="AN3" s="13">
        <v>0.44919999999999999</v>
      </c>
      <c r="AO3" s="13">
        <v>6.0000000000000001E-3</v>
      </c>
      <c r="AP3" s="13">
        <v>0.2301</v>
      </c>
      <c r="AQ3" s="13">
        <v>2.9399999999999999E-2</v>
      </c>
      <c r="AR3" s="13">
        <v>0.23419999999999999</v>
      </c>
      <c r="AS3" s="13">
        <v>1.6199999999999999E-2</v>
      </c>
      <c r="AT3" s="13">
        <f>T_NAV!AT3</f>
        <v>1.3332721057196792</v>
      </c>
      <c r="AW3">
        <v>2007</v>
      </c>
      <c r="AX3" s="13">
        <v>0</v>
      </c>
      <c r="AY3" s="13">
        <v>0</v>
      </c>
      <c r="AZ3" s="13">
        <v>0</v>
      </c>
      <c r="BA3" s="13">
        <v>0</v>
      </c>
      <c r="BB3" s="13">
        <v>0</v>
      </c>
      <c r="BC3" s="13">
        <v>0</v>
      </c>
      <c r="BD3" s="13">
        <v>0</v>
      </c>
      <c r="BE3" s="13">
        <v>1.5E-3</v>
      </c>
      <c r="BF3" s="13">
        <v>0</v>
      </c>
      <c r="BG3" s="13">
        <v>0</v>
      </c>
      <c r="BH3" s="13">
        <v>0</v>
      </c>
      <c r="BI3" s="13">
        <v>0</v>
      </c>
      <c r="BJ3" s="13">
        <f>T_NAV!BJ3</f>
        <v>1.5000000000000568E-3</v>
      </c>
    </row>
    <row r="4" spans="1:62">
      <c r="A4">
        <v>2008</v>
      </c>
      <c r="B4" s="13">
        <v>1.6299999999999999E-2</v>
      </c>
      <c r="C4" s="13">
        <v>8.2299999999999998E-2</v>
      </c>
      <c r="D4" s="13">
        <v>6.7000000000000002E-3</v>
      </c>
      <c r="E4" s="13">
        <v>3.27E-2</v>
      </c>
      <c r="F4" s="13">
        <v>1.2E-2</v>
      </c>
      <c r="G4" s="13">
        <v>0.14299999999999999</v>
      </c>
      <c r="H4" s="13">
        <v>9.0899999999999995E-2</v>
      </c>
      <c r="I4" s="13">
        <v>4.1500000000000002E-2</v>
      </c>
      <c r="J4" s="13">
        <v>1.1999999999999999E-3</v>
      </c>
      <c r="K4" s="13">
        <v>0.13089999999999999</v>
      </c>
      <c r="L4" s="13">
        <v>0.1027</v>
      </c>
      <c r="M4" s="13">
        <v>6.0000000000000001E-3</v>
      </c>
      <c r="N4" s="13">
        <f>T_NAV!N4</f>
        <v>-0.31028460543337655</v>
      </c>
      <c r="Q4">
        <v>2008</v>
      </c>
      <c r="R4" s="13">
        <v>9.9000000000000008E-3</v>
      </c>
      <c r="S4" s="13">
        <v>1.54E-2</v>
      </c>
      <c r="T4" s="13">
        <v>8.0199999999999994E-2</v>
      </c>
      <c r="U4" s="13">
        <v>5.2400000000000002E-2</v>
      </c>
      <c r="V4" s="13">
        <v>5.5999999999999999E-3</v>
      </c>
      <c r="W4" s="13">
        <v>9.8199999999999996E-2</v>
      </c>
      <c r="X4" s="13">
        <v>9.1999999999999998E-3</v>
      </c>
      <c r="Y4" s="13">
        <v>8.1799999999999998E-2</v>
      </c>
      <c r="Z4" s="13">
        <v>7.6700000000000004E-2</v>
      </c>
      <c r="AA4" s="13">
        <v>9.9599999999999994E-2</v>
      </c>
      <c r="AB4" s="13">
        <v>0.01</v>
      </c>
      <c r="AC4" s="13">
        <v>9.4999999999999998E-3</v>
      </c>
      <c r="AD4" s="13">
        <f>T_NAV!AD4</f>
        <v>-0.31986722492550268</v>
      </c>
      <c r="AG4">
        <v>2008</v>
      </c>
      <c r="AH4" s="13">
        <v>0.16439999999999999</v>
      </c>
      <c r="AI4" s="13">
        <v>1.2999999999999999E-2</v>
      </c>
      <c r="AJ4" s="13">
        <v>3.5000000000000003E-2</v>
      </c>
      <c r="AK4" s="13">
        <v>0.18820000000000001</v>
      </c>
      <c r="AL4" s="13">
        <v>0.1424</v>
      </c>
      <c r="AM4" s="13">
        <v>0.34320000000000001</v>
      </c>
      <c r="AN4" s="13">
        <v>9.98E-2</v>
      </c>
      <c r="AO4" s="13">
        <v>9.98E-2</v>
      </c>
      <c r="AP4" s="13">
        <v>0.90649999999999997</v>
      </c>
      <c r="AQ4" s="13">
        <v>0.52039999999999997</v>
      </c>
      <c r="AR4" s="13">
        <v>7.6999999999999999E-2</v>
      </c>
      <c r="AS4" s="13">
        <v>0.27639999999999998</v>
      </c>
      <c r="AT4" s="13">
        <f>T_NAV!AT4</f>
        <v>0.66988265857274709</v>
      </c>
      <c r="AW4">
        <v>2008</v>
      </c>
      <c r="AX4" s="13">
        <v>0</v>
      </c>
      <c r="AY4" s="13">
        <v>2.5000000000000001E-3</v>
      </c>
      <c r="AZ4" s="13">
        <v>0</v>
      </c>
      <c r="BA4" s="13">
        <v>0</v>
      </c>
      <c r="BB4" s="13">
        <v>1.2999999999999999E-3</v>
      </c>
      <c r="BC4" s="13">
        <v>1.6999999999999999E-3</v>
      </c>
      <c r="BD4" s="13">
        <v>1.6999999999999999E-3</v>
      </c>
      <c r="BE4" s="13">
        <v>1.6999999999999999E-3</v>
      </c>
      <c r="BF4" s="13">
        <v>1.6999999999999999E-3</v>
      </c>
      <c r="BG4" s="13">
        <v>8.0000000000000004E-4</v>
      </c>
      <c r="BH4" s="13">
        <v>8.0000000000000004E-4</v>
      </c>
      <c r="BI4" s="13">
        <v>8.0000000000000004E-4</v>
      </c>
      <c r="BJ4" s="13">
        <f>T_NAV!BJ4</f>
        <v>1.307039440838742E-2</v>
      </c>
    </row>
    <row r="5" spans="1:62">
      <c r="A5">
        <v>2009</v>
      </c>
      <c r="B5" s="13">
        <v>0.20580000000000001</v>
      </c>
      <c r="C5" s="13">
        <v>8.7300000000000003E-2</v>
      </c>
      <c r="D5" s="13">
        <v>0.12870000000000001</v>
      </c>
      <c r="E5" s="13">
        <v>6.54E-2</v>
      </c>
      <c r="F5" s="13">
        <v>5.4600000000000003E-2</v>
      </c>
      <c r="G5" s="13">
        <v>1.8200000000000001E-2</v>
      </c>
      <c r="H5" s="13">
        <v>6.2600000000000003E-2</v>
      </c>
      <c r="I5" s="13">
        <v>2.0899999999999998E-2</v>
      </c>
      <c r="J5" s="13">
        <v>1.9300000000000001E-2</v>
      </c>
      <c r="K5" s="13">
        <v>5.3600000000000002E-2</v>
      </c>
      <c r="L5" s="13">
        <v>3.8399999999999997E-2</v>
      </c>
      <c r="M5" s="13">
        <v>3.2800000000000003E-2</v>
      </c>
      <c r="N5" s="13">
        <f>T_NAV!N5</f>
        <v>1.291068804901685E-2</v>
      </c>
      <c r="Q5">
        <v>2009</v>
      </c>
      <c r="R5" s="13">
        <v>7.6200000000000004E-2</v>
      </c>
      <c r="S5" s="13">
        <v>3.1E-2</v>
      </c>
      <c r="T5" s="13">
        <v>3.7499999999999999E-2</v>
      </c>
      <c r="U5" s="13">
        <v>2.5999999999999999E-2</v>
      </c>
      <c r="V5" s="13">
        <v>7.9799999999999996E-2</v>
      </c>
      <c r="W5" s="13">
        <v>5.0799999999999998E-2</v>
      </c>
      <c r="X5" s="13">
        <v>2.3E-2</v>
      </c>
      <c r="Y5" s="13">
        <v>2.5000000000000001E-3</v>
      </c>
      <c r="Z5" s="13">
        <v>3.4200000000000001E-2</v>
      </c>
      <c r="AA5" s="13">
        <v>3.5200000000000002E-2</v>
      </c>
      <c r="AB5" s="13">
        <v>5.1999999999999998E-3</v>
      </c>
      <c r="AC5" s="13">
        <v>7.3000000000000001E-3</v>
      </c>
      <c r="AD5" s="13">
        <f>T_NAV!AD5</f>
        <v>0.2881796165862498</v>
      </c>
      <c r="AG5">
        <v>2009</v>
      </c>
      <c r="AH5" s="13">
        <v>0.121</v>
      </c>
      <c r="AI5" s="13">
        <v>3.3700000000000001E-2</v>
      </c>
      <c r="AJ5" s="13">
        <v>4.7699999999999999E-2</v>
      </c>
      <c r="AK5" s="13">
        <v>0.1731</v>
      </c>
      <c r="AL5" s="13">
        <v>0.2077</v>
      </c>
      <c r="AM5" s="13">
        <v>8.8900000000000007E-2</v>
      </c>
      <c r="AN5" s="13">
        <v>1.6299999999999999E-2</v>
      </c>
      <c r="AO5" s="13">
        <v>3.5000000000000001E-3</v>
      </c>
      <c r="AP5" s="13">
        <v>1.54E-2</v>
      </c>
      <c r="AQ5" s="13">
        <v>0.19839999999999999</v>
      </c>
      <c r="AR5" s="13">
        <v>0.2014</v>
      </c>
      <c r="AS5" s="13">
        <v>0.11550000000000001</v>
      </c>
      <c r="AT5" s="13">
        <f>T_NAV!AT5</f>
        <v>-0.458059751137325</v>
      </c>
      <c r="AW5">
        <v>2009</v>
      </c>
      <c r="AX5" s="13">
        <v>8.0000000000000004E-4</v>
      </c>
      <c r="AY5" s="13">
        <v>8.0000000000000004E-4</v>
      </c>
      <c r="AZ5" s="13">
        <v>8.0000000000000004E-4</v>
      </c>
      <c r="BA5" s="13">
        <v>8.0000000000000004E-4</v>
      </c>
      <c r="BB5" s="13">
        <v>8.0000000000000004E-4</v>
      </c>
      <c r="BC5" s="13">
        <v>8.0000000000000004E-4</v>
      </c>
      <c r="BD5" s="13">
        <v>8.0000000000000004E-4</v>
      </c>
      <c r="BE5" s="13">
        <v>8.0000000000000004E-4</v>
      </c>
      <c r="BF5" s="13">
        <v>8.0000000000000004E-4</v>
      </c>
      <c r="BG5" s="13">
        <v>8.0000000000000004E-4</v>
      </c>
      <c r="BH5" s="13">
        <v>8.0000000000000004E-4</v>
      </c>
      <c r="BI5" s="13">
        <v>8.0000000000000004E-4</v>
      </c>
      <c r="BJ5" s="13">
        <f>T_NAV!BJ5</f>
        <v>9.6393617126129261E-3</v>
      </c>
    </row>
    <row r="6" spans="1:62">
      <c r="A6">
        <v>2010</v>
      </c>
      <c r="B6" s="13">
        <v>4.0099999999999997E-2</v>
      </c>
      <c r="C6" s="13">
        <v>5.5800000000000002E-2</v>
      </c>
      <c r="D6" s="13">
        <v>6.3399999999999998E-2</v>
      </c>
      <c r="E6" s="13">
        <v>4.5199999999999997E-2</v>
      </c>
      <c r="F6" s="13">
        <v>8.8200000000000001E-2</v>
      </c>
      <c r="G6" s="13">
        <v>7.4499999999999997E-2</v>
      </c>
      <c r="H6" s="13">
        <v>3.5999999999999997E-2</v>
      </c>
      <c r="I6" s="13">
        <v>9.1700000000000004E-2</v>
      </c>
      <c r="J6" s="13">
        <v>7.7100000000000002E-2</v>
      </c>
      <c r="K6" s="13">
        <v>2.98E-2</v>
      </c>
      <c r="L6" s="13">
        <v>8.2000000000000007E-3</v>
      </c>
      <c r="N6" s="13">
        <f>T_NAV!N6</f>
        <v>-7.8390222825750477E-3</v>
      </c>
      <c r="Q6">
        <v>2010</v>
      </c>
      <c r="R6" s="13">
        <v>6.1000000000000004E-3</v>
      </c>
      <c r="S6" s="13">
        <v>1.26E-2</v>
      </c>
      <c r="T6" s="13">
        <v>5.4800000000000001E-2</v>
      </c>
      <c r="U6" s="13">
        <v>1.4800000000000001E-2</v>
      </c>
      <c r="V6" s="13">
        <v>9.2100000000000001E-2</v>
      </c>
      <c r="W6" s="13">
        <v>2.06E-2</v>
      </c>
      <c r="X6" s="13">
        <v>0.1149</v>
      </c>
      <c r="Y6" s="13">
        <v>2.3900000000000001E-2</v>
      </c>
      <c r="Z6" s="13">
        <v>8.8800000000000004E-2</v>
      </c>
      <c r="AA6" s="13">
        <v>1.1599999999999999E-2</v>
      </c>
      <c r="AB6" s="13">
        <v>5.9299999999999999E-2</v>
      </c>
      <c r="AD6" s="13">
        <f>T_NAV!AD6</f>
        <v>8.6967129008416633E-2</v>
      </c>
      <c r="AG6">
        <v>2010</v>
      </c>
      <c r="AH6" s="13">
        <v>0.1356</v>
      </c>
      <c r="AI6" s="13">
        <v>0.20799999999999999</v>
      </c>
      <c r="AJ6" s="13">
        <v>9.7900000000000001E-2</v>
      </c>
      <c r="AK6" s="13">
        <v>0.25359999999999999</v>
      </c>
      <c r="AL6" s="13">
        <v>0.45440000000000003</v>
      </c>
      <c r="AM6" s="13">
        <v>7.6999999999999999E-2</v>
      </c>
      <c r="AN6" s="13">
        <v>0.3196</v>
      </c>
      <c r="AO6" s="13">
        <v>0.1085</v>
      </c>
      <c r="AP6" s="13">
        <v>9.0200000000000002E-2</v>
      </c>
      <c r="AQ6" s="13">
        <v>0.1055</v>
      </c>
      <c r="AR6" s="13">
        <v>0.1104</v>
      </c>
      <c r="AT6" s="13">
        <f>T_NAV!AT6</f>
        <v>-2.2109780496998743E-2</v>
      </c>
      <c r="AW6">
        <v>2010</v>
      </c>
      <c r="AX6" s="13">
        <v>8.0000000000000004E-4</v>
      </c>
      <c r="AY6" s="13">
        <v>8.0000000000000004E-4</v>
      </c>
      <c r="AZ6" s="13">
        <v>8.0000000000000004E-4</v>
      </c>
      <c r="BA6" s="13">
        <v>8.0000000000000004E-4</v>
      </c>
      <c r="BB6" s="13">
        <v>8.0000000000000004E-4</v>
      </c>
      <c r="BC6" s="13">
        <v>8.0000000000000004E-4</v>
      </c>
      <c r="BD6" s="13">
        <v>8.0000000000000004E-4</v>
      </c>
      <c r="BE6" s="13">
        <v>8.0000000000000004E-4</v>
      </c>
      <c r="BF6" s="13">
        <v>8.0000000000000004E-4</v>
      </c>
      <c r="BG6" s="13">
        <v>8.0000000000000004E-4</v>
      </c>
      <c r="BH6" s="13">
        <v>8.0000000000000004E-4</v>
      </c>
      <c r="BJ6" s="13">
        <f>T_NAV!BJ6</f>
        <v>8.034206390269194E-3</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Q11"/>
  <sheetViews>
    <sheetView workbookViewId="0">
      <selection activeCell="C22" sqref="C22"/>
    </sheetView>
  </sheetViews>
  <sheetFormatPr defaultColWidth="8.875" defaultRowHeight="15.75"/>
  <cols>
    <col min="1" max="1" width="8.875" customWidth="1"/>
    <col min="2" max="13" width="12" style="211" customWidth="1"/>
    <col min="14" max="14" width="12" style="13" customWidth="1"/>
    <col min="15" max="17" width="8.875" customWidth="1"/>
    <col min="18" max="29" width="12" style="211" customWidth="1"/>
    <col min="30" max="30" width="12" style="13" customWidth="1"/>
    <col min="31" max="33" width="8.875" customWidth="1"/>
    <col min="34" max="45" width="12" style="211" customWidth="1"/>
    <col min="46" max="46" width="12" style="13" customWidth="1"/>
    <col min="47" max="49" width="8.875" customWidth="1"/>
    <col min="50" max="61" width="12" style="211" customWidth="1"/>
    <col min="62" max="62" width="12" style="13" customWidth="1"/>
  </cols>
  <sheetData>
    <row r="1" spans="1:251">
      <c r="A1" t="s">
        <v>459</v>
      </c>
      <c r="B1" s="211" t="s">
        <v>199</v>
      </c>
      <c r="C1" s="211" t="s">
        <v>200</v>
      </c>
      <c r="D1" s="211" t="s">
        <v>201</v>
      </c>
      <c r="E1" s="211" t="s">
        <v>202</v>
      </c>
      <c r="F1" s="211" t="s">
        <v>203</v>
      </c>
      <c r="G1" s="211" t="s">
        <v>204</v>
      </c>
      <c r="H1" s="211" t="s">
        <v>205</v>
      </c>
      <c r="I1" s="211" t="s">
        <v>208</v>
      </c>
      <c r="J1" s="211" t="s">
        <v>209</v>
      </c>
      <c r="K1" s="211" t="s">
        <v>210</v>
      </c>
      <c r="L1" s="211" t="s">
        <v>211</v>
      </c>
      <c r="M1" s="211" t="s">
        <v>212</v>
      </c>
      <c r="N1" s="13" t="s">
        <v>213</v>
      </c>
      <c r="Q1" t="s">
        <v>458</v>
      </c>
      <c r="R1" s="211" t="s">
        <v>199</v>
      </c>
      <c r="S1" s="211" t="s">
        <v>200</v>
      </c>
      <c r="T1" s="211" t="s">
        <v>201</v>
      </c>
      <c r="U1" s="211" t="s">
        <v>202</v>
      </c>
      <c r="V1" s="211" t="s">
        <v>203</v>
      </c>
      <c r="W1" s="211" t="s">
        <v>204</v>
      </c>
      <c r="X1" s="211" t="s">
        <v>205</v>
      </c>
      <c r="Y1" s="211" t="s">
        <v>208</v>
      </c>
      <c r="Z1" s="211" t="s">
        <v>209</v>
      </c>
      <c r="AA1" s="211" t="s">
        <v>210</v>
      </c>
      <c r="AB1" s="211" t="s">
        <v>211</v>
      </c>
      <c r="AC1" s="211" t="s">
        <v>212</v>
      </c>
      <c r="AD1" s="13" t="s">
        <v>213</v>
      </c>
      <c r="AG1" t="s">
        <v>123</v>
      </c>
      <c r="AH1" s="211" t="s">
        <v>199</v>
      </c>
      <c r="AI1" s="211" t="s">
        <v>200</v>
      </c>
      <c r="AJ1" s="211" t="s">
        <v>201</v>
      </c>
      <c r="AK1" s="211" t="s">
        <v>202</v>
      </c>
      <c r="AL1" s="211" t="s">
        <v>203</v>
      </c>
      <c r="AM1" s="211" t="s">
        <v>204</v>
      </c>
      <c r="AN1" s="211" t="s">
        <v>205</v>
      </c>
      <c r="AO1" s="211" t="s">
        <v>208</v>
      </c>
      <c r="AP1" s="211" t="s">
        <v>209</v>
      </c>
      <c r="AQ1" s="211" t="s">
        <v>210</v>
      </c>
      <c r="AR1" s="211" t="s">
        <v>211</v>
      </c>
      <c r="AS1" s="211" t="s">
        <v>212</v>
      </c>
      <c r="AT1" s="13" t="s">
        <v>213</v>
      </c>
      <c r="AW1" t="s">
        <v>124</v>
      </c>
      <c r="AX1" s="211" t="s">
        <v>199</v>
      </c>
      <c r="AY1" s="211" t="s">
        <v>200</v>
      </c>
      <c r="AZ1" s="211" t="s">
        <v>201</v>
      </c>
      <c r="BA1" s="211" t="s">
        <v>202</v>
      </c>
      <c r="BB1" s="211" t="s">
        <v>203</v>
      </c>
      <c r="BC1" s="211" t="s">
        <v>204</v>
      </c>
      <c r="BD1" s="211" t="s">
        <v>205</v>
      </c>
      <c r="BE1" s="211" t="s">
        <v>208</v>
      </c>
      <c r="BF1" s="211" t="s">
        <v>209</v>
      </c>
      <c r="BG1" s="211" t="s">
        <v>210</v>
      </c>
      <c r="BH1" s="211" t="s">
        <v>211</v>
      </c>
      <c r="BI1" s="211" t="s">
        <v>212</v>
      </c>
      <c r="BJ1" s="13" t="s">
        <v>213</v>
      </c>
    </row>
    <row r="2" spans="1:251">
      <c r="A2">
        <v>2006</v>
      </c>
      <c r="K2" s="211">
        <v>1000</v>
      </c>
      <c r="L2" s="211">
        <v>1008.6</v>
      </c>
      <c r="M2" s="211">
        <v>1016.56</v>
      </c>
      <c r="N2" s="13">
        <f>B3/K2 - 1</f>
        <v>3.4450000000000092E-2</v>
      </c>
      <c r="Q2">
        <v>2006</v>
      </c>
      <c r="AA2" s="211">
        <v>1000</v>
      </c>
      <c r="AB2" s="211">
        <v>1004.5</v>
      </c>
      <c r="AC2" s="211">
        <v>1031.42</v>
      </c>
      <c r="AD2" s="13">
        <f>R3/AA2 - 1</f>
        <v>6.5450000000000008E-2</v>
      </c>
      <c r="AG2">
        <v>2006</v>
      </c>
      <c r="AQ2" s="211">
        <v>1000</v>
      </c>
      <c r="AR2" s="211">
        <v>926.5</v>
      </c>
      <c r="AS2" s="211">
        <v>924.83</v>
      </c>
      <c r="AT2" s="13">
        <f>AH3/AQ2 - 1</f>
        <v>-2.0049999999999901E-2</v>
      </c>
      <c r="AW2">
        <v>2006</v>
      </c>
      <c r="BG2" s="211">
        <v>1000</v>
      </c>
      <c r="BH2" s="211">
        <v>1000</v>
      </c>
      <c r="BI2" s="211">
        <v>1000</v>
      </c>
      <c r="BJ2" s="13">
        <f>AX3/BG2 - 1</f>
        <v>0</v>
      </c>
      <c r="BT2" s="11"/>
      <c r="BU2" s="11"/>
      <c r="BV2" s="11"/>
      <c r="BW2" s="11"/>
      <c r="BX2" s="11"/>
      <c r="BY2" s="11"/>
      <c r="CJ2" s="11"/>
      <c r="CK2" s="11"/>
      <c r="CL2" s="11"/>
      <c r="CM2" s="11"/>
      <c r="CN2" s="11"/>
      <c r="CO2" s="11"/>
      <c r="CZ2" s="11"/>
      <c r="DA2" s="11"/>
      <c r="DB2" s="11"/>
      <c r="DC2" s="11"/>
      <c r="DD2" s="11"/>
      <c r="DE2" s="11"/>
      <c r="DP2" s="11"/>
      <c r="DQ2" s="11"/>
      <c r="DR2" s="11"/>
      <c r="DS2" s="11"/>
      <c r="DT2" s="11"/>
      <c r="DU2" s="11"/>
      <c r="EF2" s="11"/>
      <c r="EG2" s="11"/>
      <c r="EH2" s="11"/>
      <c r="EI2" s="11"/>
      <c r="EJ2" s="11"/>
      <c r="EK2" s="11"/>
    </row>
    <row r="3" spans="1:251">
      <c r="A3">
        <v>2007</v>
      </c>
      <c r="B3" s="211">
        <v>1034.45</v>
      </c>
      <c r="C3" s="211">
        <v>1033.83</v>
      </c>
      <c r="D3" s="211">
        <v>1012.12</v>
      </c>
      <c r="E3" s="211">
        <v>994.41</v>
      </c>
      <c r="F3" s="211">
        <v>1010.92</v>
      </c>
      <c r="G3" s="211">
        <v>1054.79</v>
      </c>
      <c r="H3" s="211">
        <v>1014.18</v>
      </c>
      <c r="I3" s="211">
        <v>944.61</v>
      </c>
      <c r="J3" s="211">
        <v>961.9</v>
      </c>
      <c r="K3" s="211">
        <v>981.52</v>
      </c>
      <c r="L3" s="211">
        <v>987.21</v>
      </c>
      <c r="M3" s="211">
        <v>952.46</v>
      </c>
      <c r="N3" s="13">
        <f>B4/B3 - 1</f>
        <v>-0.10329160423413408</v>
      </c>
      <c r="Q3">
        <v>2007</v>
      </c>
      <c r="R3" s="211">
        <v>1065.45</v>
      </c>
      <c r="S3" s="211">
        <v>1068.8599999999999</v>
      </c>
      <c r="T3" s="211">
        <v>1072.71</v>
      </c>
      <c r="U3" s="211">
        <v>1199.08</v>
      </c>
      <c r="V3" s="211">
        <v>1294.28</v>
      </c>
      <c r="W3" s="211">
        <v>1292.3399999999999</v>
      </c>
      <c r="X3" s="211">
        <v>1267.6600000000001</v>
      </c>
      <c r="Y3" s="211">
        <v>1428.52</v>
      </c>
      <c r="Z3" s="211">
        <v>1286.53</v>
      </c>
      <c r="AA3" s="211">
        <v>1378</v>
      </c>
      <c r="AB3" s="211">
        <v>1469.64</v>
      </c>
      <c r="AC3" s="211">
        <v>1562.23</v>
      </c>
      <c r="AD3" s="13">
        <f>R4/R3 - 1</f>
        <v>0.49294664226383222</v>
      </c>
      <c r="AG3">
        <v>2007</v>
      </c>
      <c r="AH3" s="211">
        <v>979.95</v>
      </c>
      <c r="AI3" s="211">
        <v>883.32</v>
      </c>
      <c r="AJ3" s="211">
        <v>1567.2</v>
      </c>
      <c r="AK3" s="211">
        <v>1487.9</v>
      </c>
      <c r="AL3" s="211">
        <v>1445.19</v>
      </c>
      <c r="AM3" s="211">
        <v>1326.25</v>
      </c>
      <c r="AN3" s="211">
        <v>1649.46</v>
      </c>
      <c r="AO3" s="211">
        <v>2390.4</v>
      </c>
      <c r="AP3" s="211">
        <v>2376.06</v>
      </c>
      <c r="AQ3" s="211">
        <v>1829.33</v>
      </c>
      <c r="AR3" s="211">
        <v>1883.11</v>
      </c>
      <c r="AS3" s="211">
        <v>2324.14</v>
      </c>
      <c r="AT3" s="13">
        <f>AH4/AH3 - 1</f>
        <v>1.3332721057196792</v>
      </c>
      <c r="AW3">
        <v>2007</v>
      </c>
      <c r="AX3" s="211">
        <v>1000</v>
      </c>
      <c r="AY3" s="211">
        <v>1000</v>
      </c>
      <c r="AZ3" s="211">
        <v>1000</v>
      </c>
      <c r="BA3" s="211">
        <v>1000</v>
      </c>
      <c r="BB3" s="211">
        <v>1000</v>
      </c>
      <c r="BC3" s="211">
        <v>1000</v>
      </c>
      <c r="BD3" s="211">
        <v>1000</v>
      </c>
      <c r="BE3" s="211">
        <v>1000</v>
      </c>
      <c r="BF3" s="211">
        <v>1001.5</v>
      </c>
      <c r="BG3" s="211">
        <v>1001.5</v>
      </c>
      <c r="BH3" s="211">
        <v>1001.5</v>
      </c>
      <c r="BI3" s="211">
        <v>1001.5</v>
      </c>
      <c r="BJ3" s="13">
        <f>AX4/AX3 - 1</f>
        <v>1.5000000000000568E-3</v>
      </c>
      <c r="BN3" s="11"/>
      <c r="BO3" s="11"/>
      <c r="BP3" s="11"/>
      <c r="BQ3" s="11"/>
      <c r="BR3" s="11"/>
      <c r="BS3" s="11"/>
      <c r="BT3" s="11"/>
      <c r="BU3" s="11"/>
      <c r="BV3" s="11"/>
      <c r="BW3" s="11"/>
      <c r="BX3" s="11"/>
      <c r="BY3" s="11"/>
      <c r="CD3" s="11"/>
      <c r="CE3" s="11"/>
      <c r="CF3" s="11"/>
      <c r="CG3" s="11"/>
      <c r="CH3" s="11"/>
      <c r="CI3" s="11"/>
      <c r="CJ3" s="11"/>
      <c r="CK3" s="11"/>
      <c r="CL3" s="11"/>
      <c r="CM3" s="11"/>
      <c r="CN3" s="11"/>
      <c r="CO3" s="11"/>
      <c r="CT3" s="11"/>
      <c r="CU3" s="11"/>
      <c r="CV3" s="11"/>
      <c r="CW3" s="11"/>
      <c r="CX3" s="11"/>
      <c r="CY3" s="11"/>
      <c r="CZ3" s="11"/>
      <c r="DA3" s="11"/>
      <c r="DB3" s="11"/>
      <c r="DC3" s="11"/>
      <c r="DD3" s="11"/>
      <c r="DE3" s="11"/>
      <c r="DJ3" s="11"/>
      <c r="DK3" s="11"/>
      <c r="DL3" s="11"/>
      <c r="DM3" s="11"/>
      <c r="DN3" s="11"/>
      <c r="DO3" s="11"/>
      <c r="DP3" s="11"/>
      <c r="DQ3" s="11"/>
      <c r="DR3" s="11"/>
      <c r="DS3" s="11"/>
      <c r="DT3" s="11"/>
      <c r="DU3" s="11"/>
      <c r="DZ3" s="11"/>
      <c r="EA3" s="11"/>
      <c r="EB3" s="11"/>
      <c r="EC3" s="11"/>
      <c r="ED3" s="11"/>
      <c r="EE3" s="11"/>
      <c r="EF3" s="11"/>
      <c r="EG3" s="11"/>
      <c r="EH3" s="11"/>
      <c r="EI3" s="11"/>
      <c r="EJ3" s="11"/>
      <c r="EK3" s="11"/>
      <c r="EY3" s="11"/>
      <c r="FQ3" s="11"/>
    </row>
    <row r="4" spans="1:251">
      <c r="A4">
        <v>2008</v>
      </c>
      <c r="B4" s="211">
        <v>927.6</v>
      </c>
      <c r="C4" s="211">
        <v>912.48</v>
      </c>
      <c r="D4" s="211">
        <v>837.38</v>
      </c>
      <c r="E4" s="211">
        <v>831.77</v>
      </c>
      <c r="F4" s="211">
        <v>858.97</v>
      </c>
      <c r="G4" s="211">
        <v>848.67</v>
      </c>
      <c r="H4" s="211">
        <v>727.31</v>
      </c>
      <c r="I4" s="211">
        <v>793.42</v>
      </c>
      <c r="J4" s="211">
        <v>826.35</v>
      </c>
      <c r="K4" s="211">
        <v>825.35</v>
      </c>
      <c r="L4" s="211">
        <v>717.31</v>
      </c>
      <c r="M4" s="211">
        <v>643.65</v>
      </c>
      <c r="N4" s="13">
        <f>B5/B4 - 1</f>
        <v>-0.31028460543337655</v>
      </c>
      <c r="Q4">
        <v>2008</v>
      </c>
      <c r="R4" s="211">
        <v>1590.66</v>
      </c>
      <c r="S4" s="211">
        <v>1574.91</v>
      </c>
      <c r="T4" s="211">
        <v>1599.16</v>
      </c>
      <c r="U4" s="211">
        <v>1470.91</v>
      </c>
      <c r="V4" s="211">
        <v>1547.99</v>
      </c>
      <c r="W4" s="211">
        <v>1556.66</v>
      </c>
      <c r="X4" s="211">
        <v>1403.79</v>
      </c>
      <c r="Y4" s="211">
        <v>1416.71</v>
      </c>
      <c r="Z4" s="211">
        <v>1300.82</v>
      </c>
      <c r="AA4" s="211">
        <v>1201.05</v>
      </c>
      <c r="AB4" s="211">
        <v>1081.42</v>
      </c>
      <c r="AC4" s="211">
        <v>1092.24</v>
      </c>
      <c r="AD4" s="13">
        <f>R5/R4 - 1</f>
        <v>-0.31986722492550268</v>
      </c>
      <c r="AG4">
        <v>2008</v>
      </c>
      <c r="AH4" s="211">
        <v>2286.4899999999998</v>
      </c>
      <c r="AI4" s="211">
        <v>2662.39</v>
      </c>
      <c r="AJ4" s="211">
        <v>2697</v>
      </c>
      <c r="AK4" s="211">
        <v>2602.6</v>
      </c>
      <c r="AL4" s="211">
        <v>2112.79</v>
      </c>
      <c r="AM4" s="211">
        <v>1811.93</v>
      </c>
      <c r="AN4" s="211">
        <v>2433.7800000000002</v>
      </c>
      <c r="AO4" s="211">
        <v>2190.89</v>
      </c>
      <c r="AP4" s="211">
        <v>1972.24</v>
      </c>
      <c r="AQ4" s="211">
        <v>3760.08</v>
      </c>
      <c r="AR4" s="211">
        <v>5716.83</v>
      </c>
      <c r="AS4" s="211">
        <v>5276.63</v>
      </c>
      <c r="AT4" s="13">
        <f>AH5/AH4 - 1</f>
        <v>0.66988265857274709</v>
      </c>
      <c r="AW4">
        <v>2008</v>
      </c>
      <c r="AX4" s="211">
        <v>1001.5</v>
      </c>
      <c r="AY4" s="211">
        <v>1001.5</v>
      </c>
      <c r="AZ4" s="211">
        <v>1004</v>
      </c>
      <c r="BA4" s="211">
        <v>1004</v>
      </c>
      <c r="BB4" s="211">
        <v>1004</v>
      </c>
      <c r="BC4" s="211">
        <v>1005.3</v>
      </c>
      <c r="BD4" s="211">
        <v>1007.01</v>
      </c>
      <c r="BE4" s="211">
        <v>1008.72</v>
      </c>
      <c r="BF4" s="211">
        <v>1010.44</v>
      </c>
      <c r="BG4" s="211">
        <v>1012.16</v>
      </c>
      <c r="BH4" s="211">
        <v>1012.97</v>
      </c>
      <c r="BI4" s="211">
        <v>1013.78</v>
      </c>
      <c r="BJ4" s="13">
        <f>AX5/AX4 - 1</f>
        <v>1.307039440838742E-2</v>
      </c>
      <c r="BN4" s="11"/>
      <c r="BO4" s="11"/>
      <c r="BP4" s="11"/>
      <c r="BQ4" s="11"/>
      <c r="BR4" s="11"/>
      <c r="BS4" s="11"/>
      <c r="BT4" s="11"/>
      <c r="BU4" s="11"/>
      <c r="BV4" s="11"/>
      <c r="BW4" s="11"/>
      <c r="BX4" s="11"/>
      <c r="BY4" s="11"/>
      <c r="CD4" s="11"/>
      <c r="CE4" s="11"/>
      <c r="CF4" s="11"/>
      <c r="CG4" s="11"/>
      <c r="CH4" s="11"/>
      <c r="CI4" s="11"/>
      <c r="CJ4" s="11"/>
      <c r="CK4" s="11"/>
      <c r="CL4" s="11"/>
      <c r="CM4" s="11"/>
      <c r="CN4" s="11"/>
      <c r="CO4" s="11"/>
      <c r="CT4" s="11"/>
      <c r="CU4" s="11"/>
      <c r="CV4" s="11"/>
      <c r="CW4" s="11"/>
      <c r="CX4" s="11"/>
      <c r="CY4" s="11"/>
      <c r="CZ4" s="11"/>
      <c r="DA4" s="11"/>
      <c r="DB4" s="11"/>
      <c r="DC4" s="11"/>
      <c r="DD4" s="11"/>
      <c r="DE4" s="11"/>
      <c r="DJ4" s="11"/>
      <c r="DK4" s="11"/>
      <c r="DL4" s="11"/>
      <c r="DM4" s="11"/>
      <c r="DN4" s="11"/>
      <c r="DO4" s="11"/>
      <c r="DP4" s="11"/>
      <c r="DQ4" s="11"/>
      <c r="DR4" s="11"/>
      <c r="DS4" s="11"/>
      <c r="DT4" s="11"/>
      <c r="DU4" s="11"/>
      <c r="DZ4" s="11"/>
      <c r="EA4" s="11"/>
      <c r="EB4" s="11"/>
      <c r="EC4" s="11"/>
      <c r="ED4" s="11"/>
      <c r="EE4" s="11"/>
      <c r="EF4" s="11"/>
      <c r="EG4" s="11"/>
      <c r="EH4" s="11"/>
      <c r="EI4" s="11"/>
      <c r="EJ4" s="11"/>
      <c r="EK4" s="11"/>
      <c r="FW4" s="11"/>
      <c r="GO4" s="11"/>
      <c r="HG4" s="11"/>
      <c r="HY4" s="11"/>
      <c r="IQ4" s="11"/>
    </row>
    <row r="5" spans="1:251">
      <c r="A5">
        <v>2009</v>
      </c>
      <c r="B5" s="211">
        <v>639.78</v>
      </c>
      <c r="C5" s="211">
        <v>508.11</v>
      </c>
      <c r="D5" s="211">
        <v>463.76</v>
      </c>
      <c r="E5" s="211">
        <v>523.44000000000005</v>
      </c>
      <c r="F5" s="211">
        <v>557.67999999999995</v>
      </c>
      <c r="G5" s="211">
        <v>588.12</v>
      </c>
      <c r="H5" s="211">
        <v>577.41999999999996</v>
      </c>
      <c r="I5" s="211">
        <v>613.57000000000005</v>
      </c>
      <c r="J5" s="211">
        <v>626.39</v>
      </c>
      <c r="K5" s="211">
        <v>638.48</v>
      </c>
      <c r="L5" s="211">
        <v>604.26</v>
      </c>
      <c r="M5" s="211">
        <v>627.46</v>
      </c>
      <c r="N5" s="13">
        <f>B6/B5 - 1</f>
        <v>1.291068804901685E-2</v>
      </c>
      <c r="Q5">
        <v>2009</v>
      </c>
      <c r="R5" s="211">
        <v>1081.8599999999999</v>
      </c>
      <c r="S5" s="211">
        <v>1164.3</v>
      </c>
      <c r="T5" s="211">
        <v>1200.3900000000001</v>
      </c>
      <c r="U5" s="211">
        <v>1155.3800000000001</v>
      </c>
      <c r="V5" s="211">
        <v>1185.42</v>
      </c>
      <c r="W5" s="211">
        <v>1280.01</v>
      </c>
      <c r="X5" s="211">
        <v>1345.04</v>
      </c>
      <c r="Y5" s="211">
        <v>1375.97</v>
      </c>
      <c r="Z5" s="211">
        <v>1379.41</v>
      </c>
      <c r="AA5" s="211">
        <v>1426.59</v>
      </c>
      <c r="AB5" s="211">
        <v>1376.37</v>
      </c>
      <c r="AC5" s="211">
        <v>1383.53</v>
      </c>
      <c r="AD5" s="13">
        <f>R6/R5 - 1</f>
        <v>0.2881796165862498</v>
      </c>
      <c r="AG5">
        <v>2009</v>
      </c>
      <c r="AH5" s="211">
        <v>3818.17</v>
      </c>
      <c r="AI5" s="211">
        <v>4280.17</v>
      </c>
      <c r="AJ5" s="211">
        <v>4424.41</v>
      </c>
      <c r="AK5" s="211">
        <v>4213.37</v>
      </c>
      <c r="AL5" s="211">
        <v>3484.03</v>
      </c>
      <c r="AM5" s="211">
        <v>2760.4</v>
      </c>
      <c r="AN5" s="211">
        <v>2515</v>
      </c>
      <c r="AO5" s="211">
        <v>2474</v>
      </c>
      <c r="AP5" s="211">
        <v>2482.66</v>
      </c>
      <c r="AQ5" s="211">
        <v>2444.4299999999998</v>
      </c>
      <c r="AR5" s="211">
        <v>2929.41</v>
      </c>
      <c r="AS5" s="211">
        <v>2339.42</v>
      </c>
      <c r="AT5" s="13">
        <f>AH6/AH5 - 1</f>
        <v>-0.458059751137325</v>
      </c>
      <c r="AW5">
        <v>2009</v>
      </c>
      <c r="AX5" s="211">
        <v>1014.59</v>
      </c>
      <c r="AY5" s="211">
        <v>1015.4</v>
      </c>
      <c r="AZ5" s="211">
        <v>1016.21</v>
      </c>
      <c r="BA5" s="211">
        <v>1017.03</v>
      </c>
      <c r="BB5" s="211">
        <v>1017.84</v>
      </c>
      <c r="BC5" s="211">
        <v>1018.65</v>
      </c>
      <c r="BD5" s="211">
        <v>1019.47</v>
      </c>
      <c r="BE5" s="211">
        <v>1020.28</v>
      </c>
      <c r="BF5" s="211">
        <v>1021.1</v>
      </c>
      <c r="BG5" s="211">
        <v>1021.92</v>
      </c>
      <c r="BH5" s="211">
        <v>1022.73</v>
      </c>
      <c r="BI5" s="211">
        <v>1023.55</v>
      </c>
      <c r="BJ5" s="13">
        <f>AX6/AX5 - 1</f>
        <v>9.6393617126129261E-3</v>
      </c>
      <c r="BN5" s="11"/>
      <c r="BO5" s="11"/>
      <c r="BP5" s="11"/>
      <c r="BQ5" s="11"/>
      <c r="BR5" s="11"/>
      <c r="BS5" s="11"/>
      <c r="BT5" s="11"/>
      <c r="BU5" s="11"/>
      <c r="BV5" s="11"/>
      <c r="BW5" s="11"/>
      <c r="BX5" s="11"/>
      <c r="BY5" s="11"/>
      <c r="CD5" s="11"/>
      <c r="CE5" s="11"/>
      <c r="CF5" s="11"/>
      <c r="CG5" s="11"/>
      <c r="CH5" s="11"/>
      <c r="CI5" s="11"/>
      <c r="CJ5" s="11"/>
      <c r="CK5" s="11"/>
      <c r="CL5" s="11"/>
      <c r="CM5" s="11"/>
      <c r="CN5" s="11"/>
      <c r="CO5" s="11"/>
      <c r="CT5" s="11"/>
      <c r="CU5" s="11"/>
      <c r="CV5" s="11"/>
      <c r="CW5" s="11"/>
      <c r="CX5" s="11"/>
      <c r="CY5" s="11"/>
      <c r="CZ5" s="11"/>
      <c r="DA5" s="11"/>
      <c r="DB5" s="11"/>
      <c r="DC5" s="11"/>
      <c r="DD5" s="11"/>
      <c r="DE5" s="11"/>
      <c r="DJ5" s="11"/>
      <c r="DK5" s="11"/>
      <c r="DL5" s="11"/>
      <c r="DM5" s="11"/>
      <c r="DN5" s="11"/>
      <c r="DO5" s="11"/>
      <c r="DP5" s="11"/>
      <c r="DQ5" s="11"/>
      <c r="DR5" s="11"/>
      <c r="DS5" s="11"/>
      <c r="DT5" s="11"/>
      <c r="DU5" s="11"/>
      <c r="DZ5" s="11"/>
      <c r="EA5" s="11"/>
      <c r="EB5" s="11"/>
      <c r="EC5" s="11"/>
      <c r="ED5" s="11"/>
      <c r="EE5" s="11"/>
      <c r="EF5" s="11"/>
      <c r="EG5" s="11"/>
      <c r="EH5" s="11"/>
      <c r="EI5" s="11"/>
      <c r="EJ5" s="11"/>
      <c r="EK5" s="11"/>
    </row>
    <row r="6" spans="1:251">
      <c r="A6">
        <v>2010</v>
      </c>
      <c r="B6" s="211">
        <v>648.04</v>
      </c>
      <c r="C6" s="211">
        <v>622.05999999999995</v>
      </c>
      <c r="D6" s="211">
        <v>656.77</v>
      </c>
      <c r="E6" s="211">
        <v>698.41</v>
      </c>
      <c r="F6" s="211">
        <v>729.97</v>
      </c>
      <c r="G6" s="211">
        <v>665.59</v>
      </c>
      <c r="H6" s="211">
        <v>616</v>
      </c>
      <c r="I6" s="211">
        <v>638.17999999999995</v>
      </c>
      <c r="J6" s="211">
        <v>579.66</v>
      </c>
      <c r="K6" s="211">
        <v>624.35</v>
      </c>
      <c r="L6" s="211">
        <v>642.96</v>
      </c>
      <c r="N6" s="13">
        <f>L6/B6 - 1</f>
        <v>-7.8390222825750477E-3</v>
      </c>
      <c r="Q6">
        <v>2010</v>
      </c>
      <c r="R6" s="211">
        <v>1393.63</v>
      </c>
      <c r="S6" s="211">
        <v>1385.13</v>
      </c>
      <c r="T6" s="211">
        <v>1367.68</v>
      </c>
      <c r="U6" s="211">
        <v>1442.63</v>
      </c>
      <c r="V6" s="211">
        <v>1421.27</v>
      </c>
      <c r="W6" s="211">
        <v>1290.3699999999999</v>
      </c>
      <c r="X6" s="211">
        <v>1263.79</v>
      </c>
      <c r="Y6" s="211">
        <v>1409</v>
      </c>
      <c r="Z6" s="211">
        <v>1375.33</v>
      </c>
      <c r="AA6" s="211">
        <v>1497.46</v>
      </c>
      <c r="AB6" s="211">
        <v>1514.83</v>
      </c>
      <c r="AD6" s="13">
        <f>AB6/R6 - 1</f>
        <v>8.6967129008416633E-2</v>
      </c>
      <c r="AG6">
        <v>2010</v>
      </c>
      <c r="AH6" s="211">
        <v>2069.2199999999998</v>
      </c>
      <c r="AI6" s="211">
        <v>2349.81</v>
      </c>
      <c r="AJ6" s="211">
        <v>1861.04</v>
      </c>
      <c r="AK6" s="211">
        <v>1678.85</v>
      </c>
      <c r="AL6" s="211">
        <v>2104.61</v>
      </c>
      <c r="AM6" s="211">
        <v>3060.94</v>
      </c>
      <c r="AN6" s="211">
        <v>3296.63</v>
      </c>
      <c r="AO6" s="211">
        <v>2243.0300000000002</v>
      </c>
      <c r="AP6" s="211">
        <v>2486.4</v>
      </c>
      <c r="AQ6" s="211">
        <v>2262.12</v>
      </c>
      <c r="AR6" s="211">
        <v>2023.47</v>
      </c>
      <c r="AT6" s="13">
        <f>AR6/AH6 - 1</f>
        <v>-2.2109780496998743E-2</v>
      </c>
      <c r="AW6">
        <v>2010</v>
      </c>
      <c r="AX6" s="211">
        <v>1024.3699999999999</v>
      </c>
      <c r="AY6" s="211">
        <v>1025.19</v>
      </c>
      <c r="AZ6" s="211">
        <v>1026.01</v>
      </c>
      <c r="BA6" s="211">
        <v>1026.83</v>
      </c>
      <c r="BB6" s="211">
        <v>1027.6500000000001</v>
      </c>
      <c r="BC6" s="211">
        <v>1028.48</v>
      </c>
      <c r="BD6" s="211">
        <v>1029.3</v>
      </c>
      <c r="BE6" s="211">
        <v>1030.1199999999999</v>
      </c>
      <c r="BF6" s="211">
        <v>1030.95</v>
      </c>
      <c r="BG6" s="211">
        <v>1031.77</v>
      </c>
      <c r="BH6" s="211">
        <v>1032.5999999999999</v>
      </c>
      <c r="BJ6" s="13">
        <f>BH6/AX6 - 1</f>
        <v>8.034206390269194E-3</v>
      </c>
      <c r="BN6" s="11"/>
      <c r="BO6" s="11"/>
      <c r="BP6" s="11"/>
      <c r="BQ6" s="11"/>
      <c r="BR6" s="11"/>
      <c r="BS6" s="11"/>
      <c r="BT6" s="11"/>
      <c r="BU6" s="11"/>
      <c r="BV6" s="11"/>
      <c r="BW6" s="11"/>
      <c r="BX6" s="11"/>
      <c r="BY6" s="11"/>
      <c r="CD6" s="11"/>
      <c r="CE6" s="11"/>
      <c r="CF6" s="11"/>
      <c r="CG6" s="11"/>
      <c r="CH6" s="11"/>
      <c r="CI6" s="11"/>
      <c r="CJ6" s="11"/>
      <c r="CK6" s="11"/>
      <c r="CL6" s="11"/>
      <c r="CM6" s="11"/>
      <c r="CN6" s="11"/>
      <c r="CO6" s="11"/>
      <c r="CT6" s="11"/>
      <c r="CU6" s="11"/>
      <c r="CV6" s="11"/>
      <c r="CW6" s="11"/>
      <c r="CX6" s="11"/>
      <c r="CY6" s="11"/>
      <c r="CZ6" s="11"/>
      <c r="DA6" s="11"/>
      <c r="DB6" s="11"/>
      <c r="DC6" s="11"/>
      <c r="DD6" s="11"/>
      <c r="DE6" s="11"/>
      <c r="DJ6" s="11"/>
      <c r="DK6" s="11"/>
      <c r="DL6" s="11"/>
      <c r="DM6" s="11"/>
      <c r="DN6" s="11"/>
      <c r="DO6" s="11"/>
      <c r="DP6" s="11"/>
      <c r="DQ6" s="11"/>
      <c r="DR6" s="11"/>
      <c r="DS6" s="11"/>
      <c r="DT6" s="11"/>
      <c r="DU6" s="11"/>
      <c r="DZ6" s="11"/>
      <c r="EA6" s="11"/>
      <c r="EB6" s="11"/>
      <c r="EC6" s="11"/>
      <c r="ED6" s="11"/>
      <c r="EE6" s="11"/>
      <c r="EF6" s="11"/>
      <c r="EG6" s="11"/>
      <c r="EH6" s="11"/>
      <c r="EI6" s="11"/>
      <c r="EJ6" s="11"/>
      <c r="EK6" s="11"/>
    </row>
    <row r="7" spans="1:251">
      <c r="BN7" s="11"/>
      <c r="BO7" s="11"/>
      <c r="BP7" s="11"/>
      <c r="BQ7" s="11"/>
      <c r="BR7" s="11"/>
      <c r="BS7" s="11"/>
      <c r="BT7" s="11"/>
      <c r="BU7" s="11"/>
      <c r="BV7" s="11"/>
      <c r="BW7" s="11"/>
      <c r="BX7" s="11"/>
      <c r="BY7" s="11"/>
      <c r="CD7" s="11"/>
      <c r="CE7" s="11"/>
      <c r="CF7" s="11"/>
      <c r="CG7" s="11"/>
      <c r="CH7" s="11"/>
      <c r="CI7" s="11"/>
      <c r="CJ7" s="11"/>
      <c r="CK7" s="11"/>
      <c r="CL7" s="11"/>
      <c r="CM7" s="11"/>
      <c r="CN7" s="11"/>
      <c r="CO7" s="11"/>
      <c r="CT7" s="11"/>
      <c r="CU7" s="11"/>
      <c r="CV7" s="11"/>
      <c r="CW7" s="11"/>
      <c r="CX7" s="11"/>
      <c r="CY7" s="11"/>
      <c r="CZ7" s="11"/>
      <c r="DA7" s="11"/>
      <c r="DB7" s="11"/>
      <c r="DC7" s="11"/>
      <c r="DD7" s="11"/>
      <c r="DE7" s="11"/>
      <c r="DJ7" s="11"/>
      <c r="DK7" s="11"/>
      <c r="DL7" s="11"/>
      <c r="DM7" s="11"/>
      <c r="DN7" s="11"/>
      <c r="DO7" s="11"/>
      <c r="DP7" s="11"/>
      <c r="DQ7" s="11"/>
      <c r="DR7" s="11"/>
      <c r="DS7" s="11"/>
      <c r="DT7" s="11"/>
      <c r="DU7" s="11"/>
      <c r="DZ7" s="11"/>
      <c r="EA7" s="11"/>
      <c r="EB7" s="11"/>
      <c r="EC7" s="11"/>
      <c r="ED7" s="11"/>
      <c r="EE7" s="11"/>
      <c r="EF7" s="11"/>
      <c r="EG7" s="11"/>
      <c r="EH7" s="11"/>
      <c r="EI7" s="11"/>
      <c r="EJ7" s="11"/>
      <c r="EK7" s="11"/>
    </row>
    <row r="8" spans="1:251">
      <c r="BN8" s="11"/>
      <c r="BO8" s="11"/>
      <c r="BP8" s="11"/>
      <c r="BQ8" s="11"/>
      <c r="BR8" s="11"/>
      <c r="BS8" s="11"/>
      <c r="BT8" s="11"/>
      <c r="BU8" s="11"/>
      <c r="BV8" s="11"/>
      <c r="BW8" s="11"/>
      <c r="BX8" s="11"/>
      <c r="BY8" s="11"/>
      <c r="CD8" s="11"/>
      <c r="CE8" s="11"/>
      <c r="CF8" s="11"/>
      <c r="CG8" s="11"/>
      <c r="CH8" s="11"/>
      <c r="CI8" s="11"/>
      <c r="CJ8" s="11"/>
      <c r="CK8" s="11"/>
      <c r="CL8" s="11"/>
      <c r="CM8" s="11"/>
      <c r="CN8" s="11"/>
      <c r="CO8" s="11"/>
      <c r="CT8" s="11"/>
      <c r="CU8" s="11"/>
      <c r="CV8" s="11"/>
      <c r="CW8" s="11"/>
      <c r="CX8" s="11"/>
      <c r="CY8" s="11"/>
      <c r="CZ8" s="11"/>
      <c r="DA8" s="11"/>
      <c r="DB8" s="11"/>
      <c r="DC8" s="11"/>
      <c r="DD8" s="11"/>
      <c r="DE8" s="11"/>
      <c r="DJ8" s="11"/>
      <c r="DK8" s="11"/>
      <c r="DL8" s="11"/>
      <c r="DM8" s="11"/>
      <c r="DN8" s="11"/>
      <c r="DO8" s="11"/>
      <c r="DP8" s="11"/>
      <c r="DQ8" s="11"/>
      <c r="DR8" s="11"/>
      <c r="DS8" s="11"/>
      <c r="DT8" s="11"/>
      <c r="DU8" s="11"/>
      <c r="DZ8" s="11"/>
      <c r="EA8" s="11"/>
      <c r="EB8" s="11"/>
      <c r="EC8" s="11"/>
      <c r="ED8" s="11"/>
      <c r="EE8" s="11"/>
      <c r="EF8" s="11"/>
      <c r="EG8" s="11"/>
      <c r="EH8" s="11"/>
      <c r="EI8" s="11"/>
      <c r="EJ8" s="11"/>
      <c r="EK8" s="11"/>
    </row>
    <row r="9" spans="1:251">
      <c r="BN9" s="11"/>
      <c r="BO9" s="11"/>
      <c r="BP9" s="11"/>
      <c r="BQ9" s="11"/>
      <c r="BR9" s="11"/>
      <c r="BS9" s="11"/>
      <c r="BT9" s="11"/>
      <c r="BU9" s="11"/>
      <c r="BV9" s="11"/>
      <c r="BW9" s="11"/>
      <c r="BX9" s="11"/>
      <c r="BY9" s="11"/>
      <c r="CD9" s="11"/>
      <c r="CE9" s="11"/>
      <c r="CF9" s="11"/>
      <c r="CG9" s="11"/>
      <c r="CH9" s="11"/>
      <c r="CI9" s="11"/>
      <c r="CJ9" s="11"/>
      <c r="CK9" s="11"/>
      <c r="CL9" s="11"/>
      <c r="CM9" s="11"/>
      <c r="CN9" s="11"/>
      <c r="CO9" s="11"/>
      <c r="CT9" s="11"/>
      <c r="CU9" s="11"/>
      <c r="CV9" s="11"/>
      <c r="CW9" s="11"/>
      <c r="CX9" s="11"/>
      <c r="CY9" s="11"/>
      <c r="CZ9" s="11"/>
      <c r="DA9" s="11"/>
      <c r="DB9" s="11"/>
      <c r="DC9" s="11"/>
      <c r="DD9" s="11"/>
      <c r="DE9" s="11"/>
      <c r="DJ9" s="11"/>
      <c r="DK9" s="11"/>
      <c r="DL9" s="11"/>
      <c r="DM9" s="11"/>
      <c r="DN9" s="11"/>
      <c r="DO9" s="11"/>
      <c r="DP9" s="11"/>
      <c r="DQ9" s="11"/>
      <c r="DR9" s="11"/>
      <c r="DS9" s="11"/>
      <c r="DT9" s="11"/>
      <c r="DU9" s="11"/>
      <c r="DZ9" s="11"/>
      <c r="EA9" s="11"/>
      <c r="EB9" s="11"/>
      <c r="EC9" s="11"/>
      <c r="ED9" s="11"/>
      <c r="EE9" s="11"/>
      <c r="EF9" s="11"/>
      <c r="EG9" s="11"/>
      <c r="EH9" s="11"/>
      <c r="EI9" s="11"/>
      <c r="EJ9" s="11"/>
      <c r="EK9" s="11"/>
    </row>
    <row r="10" spans="1:251">
      <c r="BN10" s="11"/>
      <c r="BO10" s="11"/>
      <c r="BP10" s="11"/>
      <c r="BQ10" s="11"/>
      <c r="BR10" s="11"/>
      <c r="BS10" s="11"/>
      <c r="BT10" s="11"/>
      <c r="BU10" s="11"/>
      <c r="BV10" s="11"/>
      <c r="BW10" s="11"/>
      <c r="BX10" s="11"/>
      <c r="BY10" s="11"/>
      <c r="CD10" s="11"/>
      <c r="CE10" s="11"/>
      <c r="CF10" s="11"/>
      <c r="CG10" s="11"/>
      <c r="CH10" s="11"/>
      <c r="CI10" s="11"/>
      <c r="CJ10" s="11"/>
      <c r="CK10" s="11"/>
      <c r="CL10" s="11"/>
      <c r="CM10" s="11"/>
      <c r="CN10" s="11"/>
      <c r="CO10" s="11"/>
      <c r="CT10" s="11"/>
      <c r="CU10" s="11"/>
      <c r="CV10" s="11"/>
      <c r="CW10" s="11"/>
      <c r="CX10" s="11"/>
      <c r="CY10" s="11"/>
      <c r="CZ10" s="11"/>
      <c r="DA10" s="11"/>
      <c r="DB10" s="11"/>
      <c r="DC10" s="11"/>
      <c r="DD10" s="11"/>
      <c r="DE10" s="11"/>
      <c r="DJ10" s="11"/>
      <c r="DK10" s="11"/>
      <c r="DL10" s="11"/>
      <c r="DM10" s="11"/>
      <c r="DN10" s="11"/>
      <c r="DO10" s="11"/>
      <c r="DP10" s="11"/>
      <c r="DQ10" s="11"/>
      <c r="DR10" s="11"/>
      <c r="DS10" s="11"/>
      <c r="DT10" s="11"/>
      <c r="DU10" s="11"/>
      <c r="DZ10" s="11"/>
      <c r="EA10" s="11"/>
      <c r="EB10" s="11"/>
      <c r="EC10" s="11"/>
      <c r="ED10" s="11"/>
      <c r="EE10" s="11"/>
      <c r="EF10" s="11"/>
      <c r="EG10" s="11"/>
      <c r="EH10" s="11"/>
      <c r="EI10" s="11"/>
      <c r="EJ10" s="11"/>
      <c r="EK10" s="11"/>
    </row>
    <row r="11" spans="1:251">
      <c r="BN11" s="11"/>
      <c r="BO11" s="11"/>
      <c r="BP11" s="11"/>
      <c r="BQ11" s="11"/>
      <c r="BR11" s="11"/>
      <c r="BS11" s="11"/>
      <c r="BT11" s="11"/>
      <c r="BU11" s="11"/>
      <c r="BV11" s="11"/>
      <c r="BW11" s="11"/>
      <c r="CD11" s="11"/>
      <c r="CE11" s="11"/>
      <c r="CF11" s="11"/>
      <c r="CG11" s="11"/>
      <c r="CH11" s="11"/>
      <c r="CI11" s="11"/>
      <c r="CJ11" s="11"/>
      <c r="CK11" s="11"/>
      <c r="CL11" s="11"/>
      <c r="CM11" s="11"/>
      <c r="CT11" s="11"/>
      <c r="CU11" s="11"/>
      <c r="CV11" s="11"/>
      <c r="CW11" s="11"/>
      <c r="CX11" s="11"/>
      <c r="CY11" s="11"/>
      <c r="CZ11" s="11"/>
      <c r="DA11" s="11"/>
      <c r="DB11" s="11"/>
      <c r="DC11" s="11"/>
      <c r="DJ11" s="11"/>
      <c r="DK11" s="11"/>
      <c r="DL11" s="11"/>
      <c r="DM11" s="11"/>
      <c r="DN11" s="11"/>
      <c r="DO11" s="11"/>
      <c r="DP11" s="11"/>
      <c r="DQ11" s="11"/>
      <c r="DR11" s="11"/>
      <c r="DS11" s="11"/>
      <c r="DZ11" s="11"/>
      <c r="EA11" s="11"/>
      <c r="EB11" s="11"/>
      <c r="EC11" s="11"/>
      <c r="ED11" s="11"/>
      <c r="EE11" s="11"/>
      <c r="EF11" s="11"/>
      <c r="EG11" s="11"/>
      <c r="EH11" s="11"/>
      <c r="EI11" s="11"/>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AP376"/>
  <sheetViews>
    <sheetView workbookViewId="0">
      <selection activeCell="C22" sqref="C22"/>
    </sheetView>
  </sheetViews>
  <sheetFormatPr defaultColWidth="8.875" defaultRowHeight="15.75"/>
  <cols>
    <col min="1" max="16" width="11" customWidth="1"/>
    <col min="17" max="17" width="17.5" bestFit="1" customWidth="1"/>
    <col min="18" max="18" width="22" bestFit="1" customWidth="1"/>
    <col min="19" max="19" width="11" customWidth="1"/>
    <col min="20" max="20" width="15" customWidth="1"/>
    <col min="21" max="25" width="11" customWidth="1"/>
    <col min="26" max="26" width="12.875" bestFit="1" customWidth="1"/>
    <col min="27" max="28" width="11" bestFit="1" customWidth="1"/>
    <col min="29" max="30" width="11" customWidth="1"/>
    <col min="31" max="31" width="13.375" customWidth="1"/>
    <col min="32" max="32" width="17.625" customWidth="1"/>
    <col min="33" max="33" width="14.5" customWidth="1"/>
    <col min="34" max="34" width="15.5" customWidth="1"/>
    <col min="35" max="35" width="11" customWidth="1"/>
    <col min="36" max="36" width="15.125" customWidth="1"/>
    <col min="37" max="37" width="16" customWidth="1"/>
    <col min="38" max="38" width="15.125" customWidth="1"/>
    <col min="39" max="39" width="13" customWidth="1"/>
    <col min="40" max="40" width="14.875" customWidth="1"/>
  </cols>
  <sheetData>
    <row r="2" spans="1:42">
      <c r="R2" t="s">
        <v>207</v>
      </c>
      <c r="S2" s="178">
        <f>ASSUMPTION!F23</f>
        <v>12</v>
      </c>
      <c r="AD2" t="s">
        <v>206</v>
      </c>
      <c r="AE2">
        <f>ASSUMPTION!F22</f>
        <v>12</v>
      </c>
      <c r="AH2" s="178">
        <f>MAX(AH5:AH54)</f>
        <v>41</v>
      </c>
      <c r="AI2" s="13">
        <f ca="1">MIN(AI5:AI54)</f>
        <v>-0.56032954426947545</v>
      </c>
      <c r="AJ2" s="13">
        <f ca="1">MIN(AJ5:AJ54)</f>
        <v>-0.2058051205101753</v>
      </c>
      <c r="AM2" s="178">
        <f>MAX(AM5:AM54)</f>
        <v>32</v>
      </c>
      <c r="AN2" s="13">
        <f ca="1">MIN(AN5:AN54)</f>
        <v>-0.32375747267315336</v>
      </c>
      <c r="AO2" s="13">
        <f ca="1">MIN(AO5:AO54)</f>
        <v>-9.9604512718038274E-2</v>
      </c>
      <c r="AP2" s="193">
        <f>AVERAGE(AP5:AP54)</f>
        <v>0.22349146560995742</v>
      </c>
    </row>
    <row r="3" spans="1:42">
      <c r="B3" t="s">
        <v>268</v>
      </c>
      <c r="F3" t="s">
        <v>270</v>
      </c>
      <c r="J3" t="s">
        <v>271</v>
      </c>
      <c r="O3" t="s">
        <v>175</v>
      </c>
      <c r="R3" t="s">
        <v>176</v>
      </c>
      <c r="V3" t="s">
        <v>40</v>
      </c>
      <c r="Z3" t="s">
        <v>41</v>
      </c>
      <c r="AF3" t="s">
        <v>42</v>
      </c>
      <c r="AK3" t="s">
        <v>43</v>
      </c>
    </row>
    <row r="4" spans="1:42">
      <c r="A4" t="s">
        <v>24</v>
      </c>
      <c r="B4" t="s">
        <v>459</v>
      </c>
      <c r="C4" t="s">
        <v>458</v>
      </c>
      <c r="D4" t="s">
        <v>123</v>
      </c>
      <c r="E4" t="s">
        <v>124</v>
      </c>
      <c r="F4" t="s">
        <v>459</v>
      </c>
      <c r="G4" t="s">
        <v>458</v>
      </c>
      <c r="H4" t="s">
        <v>123</v>
      </c>
      <c r="I4" t="s">
        <v>124</v>
      </c>
      <c r="J4" t="s">
        <v>125</v>
      </c>
      <c r="K4" t="s">
        <v>126</v>
      </c>
      <c r="L4" t="s">
        <v>127</v>
      </c>
      <c r="M4" t="s">
        <v>128</v>
      </c>
      <c r="N4" t="s">
        <v>129</v>
      </c>
      <c r="O4" t="s">
        <v>459</v>
      </c>
      <c r="P4" t="s">
        <v>458</v>
      </c>
      <c r="Q4" t="s">
        <v>130</v>
      </c>
      <c r="R4" t="s">
        <v>459</v>
      </c>
      <c r="S4" t="s">
        <v>458</v>
      </c>
      <c r="T4" t="s">
        <v>131</v>
      </c>
      <c r="U4" t="s">
        <v>132</v>
      </c>
      <c r="V4" t="s">
        <v>133</v>
      </c>
      <c r="W4" t="s">
        <v>134</v>
      </c>
      <c r="X4" t="s">
        <v>135</v>
      </c>
      <c r="Y4" t="s">
        <v>136</v>
      </c>
      <c r="Z4" t="s">
        <v>133</v>
      </c>
      <c r="AA4" t="s">
        <v>134</v>
      </c>
      <c r="AB4" t="s">
        <v>135</v>
      </c>
      <c r="AC4" t="s">
        <v>137</v>
      </c>
      <c r="AD4" t="s">
        <v>145</v>
      </c>
      <c r="AE4" t="s">
        <v>146</v>
      </c>
      <c r="AF4" t="s">
        <v>147</v>
      </c>
      <c r="AG4" t="s">
        <v>148</v>
      </c>
      <c r="AH4" t="s">
        <v>149</v>
      </c>
      <c r="AI4" t="s">
        <v>247</v>
      </c>
      <c r="AJ4" t="s">
        <v>248</v>
      </c>
      <c r="AK4" t="s">
        <v>249</v>
      </c>
      <c r="AL4" t="s">
        <v>250</v>
      </c>
      <c r="AM4" t="s">
        <v>251</v>
      </c>
      <c r="AN4" t="s">
        <v>252</v>
      </c>
      <c r="AO4" t="s">
        <v>253</v>
      </c>
      <c r="AP4" t="s">
        <v>1</v>
      </c>
    </row>
    <row r="5" spans="1:42">
      <c r="A5" s="177">
        <v>38991</v>
      </c>
      <c r="B5" s="14">
        <v>8.6E-3</v>
      </c>
      <c r="C5" s="14">
        <v>4.4999999999999997E-3</v>
      </c>
      <c r="D5" s="14">
        <v>7.3499999999999996E-2</v>
      </c>
      <c r="E5" s="14">
        <v>0</v>
      </c>
      <c r="F5" s="181">
        <v>1000</v>
      </c>
      <c r="G5" s="181">
        <v>1000</v>
      </c>
      <c r="H5" s="181">
        <v>1000</v>
      </c>
      <c r="I5" s="181">
        <v>1000</v>
      </c>
      <c r="J5" s="14">
        <v>0.8</v>
      </c>
      <c r="K5" s="14">
        <v>0.2</v>
      </c>
      <c r="L5" s="14">
        <f>-K5</f>
        <v>-0.2</v>
      </c>
      <c r="M5" s="14">
        <f>J5+K5</f>
        <v>1</v>
      </c>
      <c r="N5" s="14">
        <f>J5-K5</f>
        <v>0.60000000000000009</v>
      </c>
      <c r="O5" s="14"/>
      <c r="P5" s="14"/>
      <c r="Q5" s="181">
        <f>G5</f>
        <v>1000</v>
      </c>
      <c r="R5" s="14"/>
      <c r="S5" s="14"/>
      <c r="T5" s="14"/>
      <c r="U5" s="14"/>
      <c r="V5" s="14"/>
      <c r="W5" s="14"/>
      <c r="X5" s="14"/>
      <c r="Y5" s="14"/>
      <c r="Z5" s="14"/>
      <c r="AA5" s="14"/>
      <c r="AB5" s="14"/>
      <c r="AD5" s="14"/>
      <c r="AE5" s="14"/>
      <c r="AF5" s="181">
        <f>MAX(F$4:F5)</f>
        <v>1000</v>
      </c>
      <c r="AG5">
        <f ca="1">MIN(INDIRECT("f"&amp;ROW(AG5)-AH5):F5)</f>
        <v>1000</v>
      </c>
      <c r="AI5" s="14"/>
      <c r="AJ5" s="14"/>
      <c r="AK5" s="181">
        <f>MAX(G$4:G5)</f>
        <v>1000</v>
      </c>
      <c r="AL5">
        <f ca="1">MIN(INDIRECT("g"&amp;ROW(AL5)-AM5):G5)</f>
        <v>1000</v>
      </c>
      <c r="AN5" s="14"/>
      <c r="AO5" s="14"/>
      <c r="AP5" s="193">
        <f>(J5/K5)/10</f>
        <v>0.4</v>
      </c>
    </row>
    <row r="6" spans="1:42">
      <c r="A6" s="177">
        <v>39022</v>
      </c>
      <c r="B6" s="14">
        <v>7.9000000000000008E-3</v>
      </c>
      <c r="C6" s="14">
        <v>2.6800000000000001E-2</v>
      </c>
      <c r="D6" s="14">
        <v>1.8E-3</v>
      </c>
      <c r="E6" s="14">
        <v>0</v>
      </c>
      <c r="F6" s="181">
        <v>1008.6</v>
      </c>
      <c r="G6" s="181">
        <v>1004.5</v>
      </c>
      <c r="H6" s="181">
        <v>926.5</v>
      </c>
      <c r="I6" s="181">
        <v>1000</v>
      </c>
      <c r="J6" s="14">
        <v>0.68379999999999996</v>
      </c>
      <c r="K6" s="14">
        <v>0.23899999999999999</v>
      </c>
      <c r="L6" s="14">
        <f t="shared" ref="L6:L54" si="0">-K6</f>
        <v>-0.23899999999999999</v>
      </c>
      <c r="M6" s="14">
        <f t="shared" ref="M6:M54" si="1">J6+K6</f>
        <v>0.92279999999999995</v>
      </c>
      <c r="N6" s="14">
        <f t="shared" ref="N6:N54" si="2">J6-K6</f>
        <v>0.44479999999999997</v>
      </c>
      <c r="O6" s="14">
        <f>STDEV(B$5:B6)*SQRT(12)</f>
        <v>1.7146428199482228E-3</v>
      </c>
      <c r="P6" s="14">
        <f>STDEV(C$5:C6)*SQRT(12)</f>
        <v>5.4623621264064878E-2</v>
      </c>
      <c r="Q6" s="181">
        <f>Q5*(1+(C5/M6))</f>
        <v>1004.8764629388816</v>
      </c>
      <c r="R6" s="14"/>
      <c r="S6" s="14"/>
      <c r="T6" s="14"/>
      <c r="U6" s="14"/>
      <c r="V6" s="14"/>
      <c r="W6" s="14"/>
      <c r="X6" s="14"/>
      <c r="Y6" s="14"/>
      <c r="Z6" s="14"/>
      <c r="AA6" s="14"/>
      <c r="AB6" s="14"/>
      <c r="AD6" s="14"/>
      <c r="AE6" s="14"/>
      <c r="AF6" s="181">
        <f>MAX(F$4:F6)</f>
        <v>1008.6</v>
      </c>
      <c r="AG6">
        <f ca="1">MIN(INDIRECT("f"&amp;ROW(AG6)-AH6):F6)</f>
        <v>1008.6</v>
      </c>
      <c r="AH6">
        <f>IF(AF6=AF5,IF(AF6=0,0,1+AH5),0)</f>
        <v>0</v>
      </c>
      <c r="AI6" s="14" t="str">
        <f ca="1">IF(AG5&lt;=AG6,"",AG6/AF6-1)</f>
        <v/>
      </c>
      <c r="AJ6" s="14">
        <f ca="1">AG6/AG5-1</f>
        <v>8.599999999999941E-3</v>
      </c>
      <c r="AK6" s="181">
        <f>MAX(G$4:G6)</f>
        <v>1004.5</v>
      </c>
      <c r="AL6">
        <f ca="1">MIN(INDIRECT("g"&amp;ROW(AL6)-AM6):G6)</f>
        <v>1004.5</v>
      </c>
      <c r="AM6">
        <f>IF(AK6=AK5,IF(AK6=0,0,1+AM5),0)</f>
        <v>0</v>
      </c>
      <c r="AN6" s="14" t="str">
        <f ca="1">IF(AL5&lt;=AL6,"",AL6/AK6-1)</f>
        <v/>
      </c>
      <c r="AO6" s="14">
        <f ca="1">AL6/AL5-1</f>
        <v>4.4999999999999485E-3</v>
      </c>
      <c r="AP6" s="193">
        <f t="shared" ref="AP6:AP54" si="3">(J6/K6)/10</f>
        <v>0.28610878661087863</v>
      </c>
    </row>
    <row r="7" spans="1:42">
      <c r="A7" s="177">
        <v>39052</v>
      </c>
      <c r="B7" s="14">
        <v>1.7600000000000001E-2</v>
      </c>
      <c r="C7" s="14">
        <v>3.3000000000000002E-2</v>
      </c>
      <c r="D7" s="14">
        <v>5.96E-2</v>
      </c>
      <c r="E7" s="14">
        <v>0</v>
      </c>
      <c r="F7" s="181">
        <v>1016.56</v>
      </c>
      <c r="G7" s="181">
        <v>1031.42</v>
      </c>
      <c r="H7" s="181">
        <v>924.83</v>
      </c>
      <c r="I7" s="181">
        <v>1000</v>
      </c>
      <c r="J7" s="14">
        <v>0.78480000000000005</v>
      </c>
      <c r="K7" s="14">
        <v>0.27579999999999999</v>
      </c>
      <c r="L7" s="14">
        <f t="shared" si="0"/>
        <v>-0.27579999999999999</v>
      </c>
      <c r="M7" s="14">
        <f t="shared" si="1"/>
        <v>1.0606</v>
      </c>
      <c r="N7" s="14">
        <f t="shared" si="2"/>
        <v>0.50900000000000012</v>
      </c>
      <c r="O7" s="14">
        <f>STDEV(B$5:B7)*SQRT(12)</f>
        <v>1.8739263592788255E-2</v>
      </c>
      <c r="P7" s="14">
        <f>STDEV(C$5:C7)*SQRT(12)</f>
        <v>5.1922634755952074E-2</v>
      </c>
      <c r="Q7" s="181">
        <f t="shared" ref="Q7:Q54" si="4">Q6*(1+(C6/M7))</f>
        <v>1030.2684007163302</v>
      </c>
      <c r="R7" s="14"/>
      <c r="S7" s="14"/>
      <c r="T7" s="14"/>
      <c r="U7" s="14"/>
      <c r="V7" s="14"/>
      <c r="W7" s="14"/>
      <c r="X7" s="14"/>
      <c r="Y7" s="14"/>
      <c r="Z7" s="14"/>
      <c r="AA7" s="14"/>
      <c r="AB7" s="14"/>
      <c r="AD7" s="14"/>
      <c r="AE7" s="14"/>
      <c r="AF7" s="181">
        <f>MAX(F$4:F7)</f>
        <v>1016.56</v>
      </c>
      <c r="AG7">
        <f ca="1">MIN(INDIRECT("f"&amp;ROW(AG7)-AH7):F7)</f>
        <v>1016.56</v>
      </c>
      <c r="AH7">
        <f t="shared" ref="AH7:AH54" si="5">IF(AF7=AF6,IF(AF7=0,0,1+AH6),0)</f>
        <v>0</v>
      </c>
      <c r="AI7" s="14" t="str">
        <f t="shared" ref="AI7:AI54" ca="1" si="6">IF(AG6&lt;=AG7,"",AG7/AF7-1)</f>
        <v/>
      </c>
      <c r="AJ7" s="14">
        <f t="shared" ref="AJ7:AJ54" ca="1" si="7">AG7/AG6-1</f>
        <v>7.8921277017647284E-3</v>
      </c>
      <c r="AK7" s="181">
        <f>MAX(G$4:G7)</f>
        <v>1031.42</v>
      </c>
      <c r="AL7">
        <f ca="1">MIN(INDIRECT("g"&amp;ROW(AL7)-AM7):G7)</f>
        <v>1031.42</v>
      </c>
      <c r="AM7">
        <f t="shared" ref="AM7:AM54" si="8">IF(AK7=AK6,IF(AK7=0,0,1+AM6),0)</f>
        <v>0</v>
      </c>
      <c r="AN7" s="14" t="str">
        <f t="shared" ref="AN7:AN54" ca="1" si="9">IF(AL6&lt;=AL7,"",AL7/AK7-1)</f>
        <v/>
      </c>
      <c r="AO7" s="14">
        <f t="shared" ref="AO7:AO54" ca="1" si="10">AL7/AL6-1</f>
        <v>2.6799402687904594E-2</v>
      </c>
      <c r="AP7" s="193">
        <f t="shared" si="3"/>
        <v>0.28455402465554752</v>
      </c>
    </row>
    <row r="8" spans="1:42">
      <c r="A8" s="177">
        <v>39083</v>
      </c>
      <c r="B8" s="14">
        <v>5.9999999999999995E-4</v>
      </c>
      <c r="C8" s="14">
        <v>3.2000000000000002E-3</v>
      </c>
      <c r="D8" s="14">
        <v>9.8599999999999993E-2</v>
      </c>
      <c r="E8" s="14">
        <v>0</v>
      </c>
      <c r="F8" s="181">
        <v>1034.45</v>
      </c>
      <c r="G8" s="181">
        <v>1065.45</v>
      </c>
      <c r="H8" s="181">
        <v>979.95</v>
      </c>
      <c r="I8" s="181">
        <v>1000</v>
      </c>
      <c r="J8" s="14">
        <v>0.82769999999999999</v>
      </c>
      <c r="K8" s="14">
        <v>0.1414</v>
      </c>
      <c r="L8" s="14">
        <f t="shared" si="0"/>
        <v>-0.1414</v>
      </c>
      <c r="M8" s="14">
        <f t="shared" si="1"/>
        <v>0.96909999999999996</v>
      </c>
      <c r="N8" s="14">
        <f t="shared" si="2"/>
        <v>0.68630000000000002</v>
      </c>
      <c r="O8" s="14">
        <f>STDEV(B$5:B8)*SQRT(12)</f>
        <v>2.4121981676470935E-2</v>
      </c>
      <c r="P8" s="14">
        <f>STDEV(C$5:C8)*SQRT(12)</f>
        <v>5.2864638464667484E-2</v>
      </c>
      <c r="Q8" s="181">
        <f t="shared" si="4"/>
        <v>1065.3513201504845</v>
      </c>
      <c r="R8" s="14"/>
      <c r="S8" s="14"/>
      <c r="T8" s="14"/>
      <c r="U8" s="14"/>
      <c r="V8" s="14"/>
      <c r="W8" s="14"/>
      <c r="X8" s="14"/>
      <c r="Y8" s="14"/>
      <c r="Z8" s="14"/>
      <c r="AA8" s="14"/>
      <c r="AB8" s="14"/>
      <c r="AD8" s="14"/>
      <c r="AE8" s="14"/>
      <c r="AF8" s="181">
        <f>MAX(F$4:F8)</f>
        <v>1034.45</v>
      </c>
      <c r="AG8">
        <f ca="1">MIN(INDIRECT("f"&amp;ROW(AG8)-AH8):F8)</f>
        <v>1034.45</v>
      </c>
      <c r="AH8">
        <f t="shared" si="5"/>
        <v>0</v>
      </c>
      <c r="AI8" s="14" t="str">
        <f t="shared" ca="1" si="6"/>
        <v/>
      </c>
      <c r="AJ8" s="14">
        <f t="shared" ca="1" si="7"/>
        <v>1.7598567718580371E-2</v>
      </c>
      <c r="AK8" s="181">
        <f>MAX(G$4:G8)</f>
        <v>1065.45</v>
      </c>
      <c r="AL8">
        <f ca="1">MIN(INDIRECT("g"&amp;ROW(AL8)-AM8):G8)</f>
        <v>1065.45</v>
      </c>
      <c r="AM8">
        <f t="shared" si="8"/>
        <v>0</v>
      </c>
      <c r="AN8" s="14" t="str">
        <f t="shared" ca="1" si="9"/>
        <v/>
      </c>
      <c r="AO8" s="14">
        <f t="shared" ca="1" si="10"/>
        <v>3.2993348975199233E-2</v>
      </c>
      <c r="AP8" s="193">
        <f t="shared" si="3"/>
        <v>0.5853606789250354</v>
      </c>
    </row>
    <row r="9" spans="1:42">
      <c r="A9" s="177">
        <v>39114</v>
      </c>
      <c r="B9" s="14">
        <v>2.1000000000000001E-2</v>
      </c>
      <c r="C9" s="14">
        <v>3.5999999999999999E-3</v>
      </c>
      <c r="D9" s="14">
        <v>0.7742</v>
      </c>
      <c r="E9" s="14">
        <v>0</v>
      </c>
      <c r="F9" s="181">
        <v>1033.83</v>
      </c>
      <c r="G9" s="181">
        <v>1068.8599999999999</v>
      </c>
      <c r="H9" s="181">
        <v>883.32</v>
      </c>
      <c r="I9" s="181">
        <v>1000</v>
      </c>
      <c r="J9" s="14">
        <v>0.96560000000000001</v>
      </c>
      <c r="K9" s="14">
        <v>0.16589999999999999</v>
      </c>
      <c r="L9" s="14">
        <f t="shared" si="0"/>
        <v>-0.16589999999999999</v>
      </c>
      <c r="M9" s="14">
        <f t="shared" si="1"/>
        <v>1.1315</v>
      </c>
      <c r="N9" s="14">
        <f t="shared" si="2"/>
        <v>0.79970000000000008</v>
      </c>
      <c r="O9" s="14">
        <f>STDEV(B$5:B9)*SQRT(12)</f>
        <v>2.830151939384172E-2</v>
      </c>
      <c r="P9" s="14">
        <f>STDEV(C$5:C9)*SQRT(12)</f>
        <v>5.0189082478164518E-2</v>
      </c>
      <c r="Q9" s="181">
        <f t="shared" si="4"/>
        <v>1068.3642447854661</v>
      </c>
      <c r="R9" s="14"/>
      <c r="S9" s="14"/>
      <c r="T9" s="14"/>
      <c r="U9" s="14"/>
      <c r="V9" s="14"/>
      <c r="W9" s="14"/>
      <c r="X9" s="14"/>
      <c r="Y9" s="14"/>
      <c r="Z9" s="14"/>
      <c r="AA9" s="14"/>
      <c r="AB9" s="14"/>
      <c r="AD9" s="14"/>
      <c r="AE9" s="14"/>
      <c r="AF9" s="181">
        <f>MAX(F$4:F9)</f>
        <v>1034.45</v>
      </c>
      <c r="AG9">
        <f ca="1">MIN(INDIRECT("f"&amp;ROW(AG9)-AH9):F9)</f>
        <v>1033.83</v>
      </c>
      <c r="AH9">
        <f t="shared" si="5"/>
        <v>1</v>
      </c>
      <c r="AI9" s="14">
        <f t="shared" ca="1" si="6"/>
        <v>-5.9935231282337575E-4</v>
      </c>
      <c r="AJ9" s="14">
        <f t="shared" ca="1" si="7"/>
        <v>-5.9935231282337575E-4</v>
      </c>
      <c r="AK9" s="181">
        <f>MAX(G$4:G9)</f>
        <v>1068.8599999999999</v>
      </c>
      <c r="AL9">
        <f ca="1">MIN(INDIRECT("g"&amp;ROW(AL9)-AM9):G9)</f>
        <v>1068.8599999999999</v>
      </c>
      <c r="AM9">
        <f t="shared" si="8"/>
        <v>0</v>
      </c>
      <c r="AN9" s="14" t="str">
        <f t="shared" ca="1" si="9"/>
        <v/>
      </c>
      <c r="AO9" s="14">
        <f t="shared" ca="1" si="10"/>
        <v>3.2005255995117832E-3</v>
      </c>
      <c r="AP9" s="193">
        <f t="shared" si="3"/>
        <v>0.58203737191078964</v>
      </c>
    </row>
    <row r="10" spans="1:42">
      <c r="A10" s="177">
        <v>39142</v>
      </c>
      <c r="B10" s="14">
        <v>1.7500000000000002E-2</v>
      </c>
      <c r="C10" s="14">
        <v>0.1178</v>
      </c>
      <c r="D10" s="14">
        <v>5.0599999999999999E-2</v>
      </c>
      <c r="E10" s="14">
        <v>0</v>
      </c>
      <c r="F10" s="181">
        <v>1012.12</v>
      </c>
      <c r="G10" s="181">
        <v>1072.71</v>
      </c>
      <c r="H10" s="181">
        <v>1567.2</v>
      </c>
      <c r="I10" s="181">
        <v>1000</v>
      </c>
      <c r="J10" s="14">
        <v>0.85450000000000004</v>
      </c>
      <c r="K10" s="14">
        <v>0.61829999999999996</v>
      </c>
      <c r="L10" s="14">
        <f t="shared" si="0"/>
        <v>-0.61829999999999996</v>
      </c>
      <c r="M10" s="14">
        <f t="shared" si="1"/>
        <v>1.4727999999999999</v>
      </c>
      <c r="N10" s="14">
        <f t="shared" si="2"/>
        <v>0.23620000000000008</v>
      </c>
      <c r="O10" s="14">
        <f>STDEV(B$5:B10)*SQRT(12)</f>
        <v>2.6864102441734389E-2</v>
      </c>
      <c r="P10" s="14">
        <f>STDEV(C$5:C10)*SQRT(12)</f>
        <v>0.15320831570120466</v>
      </c>
      <c r="Q10" s="181">
        <f t="shared" si="4"/>
        <v>1070.9756728688635</v>
      </c>
      <c r="R10" s="14"/>
      <c r="S10" s="14"/>
      <c r="T10" s="14"/>
      <c r="U10" s="14"/>
      <c r="V10" s="14"/>
      <c r="W10" s="14"/>
      <c r="X10" s="14"/>
      <c r="Y10" s="14"/>
      <c r="Z10" s="14"/>
      <c r="AA10" s="14"/>
      <c r="AB10" s="14"/>
      <c r="AD10" s="14"/>
      <c r="AE10" s="14"/>
      <c r="AF10" s="181">
        <f>MAX(F$4:F10)</f>
        <v>1034.45</v>
      </c>
      <c r="AG10">
        <f ca="1">MIN(INDIRECT("f"&amp;ROW(AG10)-AH10):F10)</f>
        <v>1012.12</v>
      </c>
      <c r="AH10">
        <f t="shared" si="5"/>
        <v>2</v>
      </c>
      <c r="AI10" s="14">
        <f t="shared" ca="1" si="6"/>
        <v>-2.1586350234424123E-2</v>
      </c>
      <c r="AJ10" s="14">
        <f t="shared" ca="1" si="7"/>
        <v>-2.0999584070881983E-2</v>
      </c>
      <c r="AK10" s="181">
        <f>MAX(G$4:G10)</f>
        <v>1072.71</v>
      </c>
      <c r="AL10">
        <f ca="1">MIN(INDIRECT("g"&amp;ROW(AL10)-AM10):G10)</f>
        <v>1072.71</v>
      </c>
      <c r="AM10">
        <f t="shared" si="8"/>
        <v>0</v>
      </c>
      <c r="AN10" s="14" t="str">
        <f t="shared" ca="1" si="9"/>
        <v/>
      </c>
      <c r="AO10" s="14">
        <f t="shared" ca="1" si="10"/>
        <v>3.6019684523700413E-3</v>
      </c>
      <c r="AP10" s="193">
        <f t="shared" si="3"/>
        <v>0.1382015202975902</v>
      </c>
    </row>
    <row r="11" spans="1:42">
      <c r="A11" s="177">
        <v>39173</v>
      </c>
      <c r="B11" s="14">
        <v>1.66E-2</v>
      </c>
      <c r="C11" s="14">
        <v>7.9399999999999998E-2</v>
      </c>
      <c r="D11" s="14">
        <v>2.87E-2</v>
      </c>
      <c r="E11" s="14">
        <v>0</v>
      </c>
      <c r="F11" s="181">
        <v>994.41</v>
      </c>
      <c r="G11" s="181">
        <v>1199.08</v>
      </c>
      <c r="H11" s="181">
        <v>1487.9</v>
      </c>
      <c r="I11" s="181">
        <v>1000</v>
      </c>
      <c r="J11" s="14">
        <v>0.82669999999999999</v>
      </c>
      <c r="K11" s="14">
        <v>0.54610000000000003</v>
      </c>
      <c r="L11" s="14">
        <f t="shared" si="0"/>
        <v>-0.54610000000000003</v>
      </c>
      <c r="M11" s="14">
        <f t="shared" si="1"/>
        <v>1.3728</v>
      </c>
      <c r="N11" s="14">
        <f t="shared" si="2"/>
        <v>0.28059999999999996</v>
      </c>
      <c r="O11" s="14">
        <f>STDEV(B$5:B11)*SQRT(12)</f>
        <v>2.5191041491541607E-2</v>
      </c>
      <c r="P11" s="14">
        <f>STDEV(C$5:C11)*SQRT(12)</f>
        <v>0.15328623086053281</v>
      </c>
      <c r="Q11" s="181">
        <f t="shared" si="4"/>
        <v>1162.8761203222086</v>
      </c>
      <c r="R11" s="14"/>
      <c r="S11" s="14"/>
      <c r="T11" s="14"/>
      <c r="U11" s="14"/>
      <c r="V11" s="14"/>
      <c r="W11" s="14"/>
      <c r="X11" s="14"/>
      <c r="Y11" s="14"/>
      <c r="Z11" s="14"/>
      <c r="AA11" s="14"/>
      <c r="AB11" s="14"/>
      <c r="AD11" s="14"/>
      <c r="AE11" s="14"/>
      <c r="AF11" s="181">
        <f>MAX(F$4:F11)</f>
        <v>1034.45</v>
      </c>
      <c r="AG11">
        <f ca="1">MIN(INDIRECT("f"&amp;ROW(AG11)-AH11):F11)</f>
        <v>994.41</v>
      </c>
      <c r="AH11">
        <f t="shared" si="5"/>
        <v>3</v>
      </c>
      <c r="AI11" s="14">
        <f t="shared" ca="1" si="6"/>
        <v>-3.870655904103637E-2</v>
      </c>
      <c r="AJ11" s="14">
        <f t="shared" ca="1" si="7"/>
        <v>-1.749792514721582E-2</v>
      </c>
      <c r="AK11" s="181">
        <f>MAX(G$4:G11)</f>
        <v>1199.08</v>
      </c>
      <c r="AL11">
        <f ca="1">MIN(INDIRECT("g"&amp;ROW(AL11)-AM11):G11)</f>
        <v>1199.08</v>
      </c>
      <c r="AM11">
        <f t="shared" si="8"/>
        <v>0</v>
      </c>
      <c r="AN11" s="14" t="str">
        <f t="shared" ca="1" si="9"/>
        <v/>
      </c>
      <c r="AO11" s="14">
        <f t="shared" ca="1" si="10"/>
        <v>0.1178044392240214</v>
      </c>
      <c r="AP11" s="193">
        <f t="shared" si="3"/>
        <v>0.15138253067203808</v>
      </c>
    </row>
    <row r="12" spans="1:42">
      <c r="A12" s="177">
        <v>39203</v>
      </c>
      <c r="B12" s="14">
        <v>4.3400000000000001E-2</v>
      </c>
      <c r="C12" s="14">
        <v>1.5E-3</v>
      </c>
      <c r="D12" s="14">
        <v>8.2299999999999998E-2</v>
      </c>
      <c r="E12" s="14">
        <v>0</v>
      </c>
      <c r="F12" s="181">
        <v>1010.92</v>
      </c>
      <c r="G12" s="181">
        <v>1294.28</v>
      </c>
      <c r="H12" s="181">
        <v>1445.19</v>
      </c>
      <c r="I12" s="181">
        <v>1000</v>
      </c>
      <c r="J12" s="14">
        <v>0.88229999999999997</v>
      </c>
      <c r="K12" s="14">
        <v>0.37440000000000001</v>
      </c>
      <c r="L12" s="14">
        <f t="shared" si="0"/>
        <v>-0.37440000000000001</v>
      </c>
      <c r="M12" s="14">
        <f t="shared" si="1"/>
        <v>1.2566999999999999</v>
      </c>
      <c r="N12" s="14">
        <f t="shared" si="2"/>
        <v>0.50790000000000002</v>
      </c>
      <c r="O12" s="14">
        <f>STDEV(B$5:B12)*SQRT(12)</f>
        <v>4.411180599988429E-2</v>
      </c>
      <c r="P12" s="14">
        <f>STDEV(C$5:C12)*SQRT(12)</f>
        <v>0.14891110483391473</v>
      </c>
      <c r="Q12" s="181">
        <f t="shared" si="4"/>
        <v>1236.3482011319352</v>
      </c>
      <c r="R12" s="14"/>
      <c r="S12" s="14"/>
      <c r="T12" s="14"/>
      <c r="U12" s="14"/>
      <c r="V12" s="14"/>
      <c r="W12" s="14"/>
      <c r="X12" s="14"/>
      <c r="Y12" s="14"/>
      <c r="Z12" s="14"/>
      <c r="AA12" s="14"/>
      <c r="AB12" s="14"/>
      <c r="AD12" s="14"/>
      <c r="AE12" s="14"/>
      <c r="AF12" s="181">
        <f>MAX(F$4:F12)</f>
        <v>1034.45</v>
      </c>
      <c r="AG12">
        <f ca="1">MIN(INDIRECT("f"&amp;ROW(AG12)-AH12):F12)</f>
        <v>994.41</v>
      </c>
      <c r="AH12">
        <f t="shared" si="5"/>
        <v>4</v>
      </c>
      <c r="AI12" s="14" t="str">
        <f t="shared" ca="1" si="6"/>
        <v/>
      </c>
      <c r="AJ12" s="14">
        <f t="shared" ca="1" si="7"/>
        <v>0</v>
      </c>
      <c r="AK12" s="181">
        <f>MAX(G$4:G12)</f>
        <v>1294.28</v>
      </c>
      <c r="AL12">
        <f ca="1">MIN(INDIRECT("g"&amp;ROW(AL12)-AM12):G12)</f>
        <v>1294.28</v>
      </c>
      <c r="AM12">
        <f t="shared" si="8"/>
        <v>0</v>
      </c>
      <c r="AN12" s="14" t="str">
        <f t="shared" ca="1" si="9"/>
        <v/>
      </c>
      <c r="AO12" s="14">
        <f t="shared" ca="1" si="10"/>
        <v>7.9394202221703347E-2</v>
      </c>
      <c r="AP12" s="193">
        <f t="shared" si="3"/>
        <v>0.23565705128205128</v>
      </c>
    </row>
    <row r="13" spans="1:42">
      <c r="A13" s="177">
        <v>39234</v>
      </c>
      <c r="B13" s="14">
        <v>3.85E-2</v>
      </c>
      <c r="C13" s="14">
        <v>1.9099999999999999E-2</v>
      </c>
      <c r="D13" s="14">
        <v>0.2437</v>
      </c>
      <c r="E13" s="14">
        <v>0</v>
      </c>
      <c r="F13" s="181">
        <v>1054.79</v>
      </c>
      <c r="G13" s="181">
        <v>1292.3399999999999</v>
      </c>
      <c r="H13" s="181">
        <v>1326.25</v>
      </c>
      <c r="I13" s="181">
        <v>1000</v>
      </c>
      <c r="J13" s="14">
        <v>1.1652</v>
      </c>
      <c r="K13" s="14">
        <v>0.62509999999999999</v>
      </c>
      <c r="L13" s="14">
        <f t="shared" si="0"/>
        <v>-0.62509999999999999</v>
      </c>
      <c r="M13" s="14">
        <f t="shared" si="1"/>
        <v>1.7903</v>
      </c>
      <c r="N13" s="14">
        <f t="shared" si="2"/>
        <v>0.54010000000000002</v>
      </c>
      <c r="O13" s="14">
        <f>STDEV(B$5:B13)*SQRT(12)</f>
        <v>4.8365104500386766E-2</v>
      </c>
      <c r="P13" s="14">
        <f>STDEV(C$5:C13)*SQRT(12)</f>
        <v>0.14031354175559818</v>
      </c>
      <c r="Q13" s="181">
        <f t="shared" si="4"/>
        <v>1237.3840735006431</v>
      </c>
      <c r="R13" s="14"/>
      <c r="S13" s="14"/>
      <c r="T13" s="14"/>
      <c r="U13" s="14"/>
      <c r="V13" s="14"/>
      <c r="W13" s="14"/>
      <c r="X13" s="14"/>
      <c r="Y13" s="14"/>
      <c r="Z13" s="14"/>
      <c r="AA13" s="14"/>
      <c r="AB13" s="14"/>
      <c r="AD13" s="14"/>
      <c r="AE13" s="14"/>
      <c r="AF13" s="181">
        <f>MAX(F$4:F13)</f>
        <v>1054.79</v>
      </c>
      <c r="AG13">
        <f ca="1">MIN(INDIRECT("f"&amp;ROW(AG13)-AH13):F13)</f>
        <v>1054.79</v>
      </c>
      <c r="AH13">
        <f t="shared" si="5"/>
        <v>0</v>
      </c>
      <c r="AI13" s="14" t="str">
        <f t="shared" ca="1" si="6"/>
        <v/>
      </c>
      <c r="AJ13" s="14">
        <f t="shared" ca="1" si="7"/>
        <v>6.0719421566556964E-2</v>
      </c>
      <c r="AK13" s="181">
        <f>MAX(G$4:G13)</f>
        <v>1294.28</v>
      </c>
      <c r="AL13">
        <f ca="1">MIN(INDIRECT("g"&amp;ROW(AL13)-AM13):G13)</f>
        <v>1292.3399999999999</v>
      </c>
      <c r="AM13">
        <f t="shared" si="8"/>
        <v>1</v>
      </c>
      <c r="AN13" s="14">
        <f t="shared" ca="1" si="9"/>
        <v>-1.4989028649133873E-3</v>
      </c>
      <c r="AO13" s="14">
        <f t="shared" ca="1" si="10"/>
        <v>-1.4989028649133873E-3</v>
      </c>
      <c r="AP13" s="193">
        <f t="shared" si="3"/>
        <v>0.18640217565189571</v>
      </c>
    </row>
    <row r="14" spans="1:42">
      <c r="A14" s="177">
        <v>39264</v>
      </c>
      <c r="B14" s="14">
        <v>6.8599999999999994E-2</v>
      </c>
      <c r="C14" s="14">
        <v>0.12690000000000001</v>
      </c>
      <c r="D14" s="14">
        <v>0.44919999999999999</v>
      </c>
      <c r="E14" s="14">
        <v>0</v>
      </c>
      <c r="F14" s="181">
        <v>1014.18</v>
      </c>
      <c r="G14" s="181">
        <v>1267.6600000000001</v>
      </c>
      <c r="H14" s="181">
        <v>1649.46</v>
      </c>
      <c r="I14" s="181">
        <v>1000</v>
      </c>
      <c r="J14" s="14">
        <v>1.1807000000000001</v>
      </c>
      <c r="K14" s="14">
        <v>0.42699999999999999</v>
      </c>
      <c r="L14" s="14">
        <f t="shared" si="0"/>
        <v>-0.42699999999999999</v>
      </c>
      <c r="M14" s="14">
        <f t="shared" si="1"/>
        <v>1.6077000000000001</v>
      </c>
      <c r="N14" s="14">
        <f t="shared" si="2"/>
        <v>0.75370000000000004</v>
      </c>
      <c r="O14" s="14">
        <f>STDEV(B$5:B14)*SQRT(12)</f>
        <v>7.086758544402838E-2</v>
      </c>
      <c r="P14" s="14">
        <f>STDEV(C$5:C14)*SQRT(12)</f>
        <v>0.16818083917814977</v>
      </c>
      <c r="Q14" s="181">
        <f t="shared" si="4"/>
        <v>1252.084599596222</v>
      </c>
      <c r="R14" s="14"/>
      <c r="S14" s="14"/>
      <c r="T14" s="14"/>
      <c r="U14" s="14"/>
      <c r="V14" s="14"/>
      <c r="W14" s="14"/>
      <c r="X14" s="14"/>
      <c r="Y14" s="14"/>
      <c r="Z14" s="14"/>
      <c r="AA14" s="14"/>
      <c r="AB14" s="14"/>
      <c r="AD14" s="14"/>
      <c r="AE14" s="14"/>
      <c r="AF14" s="181">
        <f>MAX(F$4:F14)</f>
        <v>1054.79</v>
      </c>
      <c r="AG14">
        <f ca="1">MIN(INDIRECT("f"&amp;ROW(AG14)-AH14):F14)</f>
        <v>1014.18</v>
      </c>
      <c r="AH14">
        <f t="shared" si="5"/>
        <v>1</v>
      </c>
      <c r="AI14" s="14">
        <f t="shared" ca="1" si="6"/>
        <v>-3.850055461276658E-2</v>
      </c>
      <c r="AJ14" s="14">
        <f t="shared" ca="1" si="7"/>
        <v>-3.850055461276658E-2</v>
      </c>
      <c r="AK14" s="181">
        <f>MAX(G$4:G14)</f>
        <v>1294.28</v>
      </c>
      <c r="AL14">
        <f ca="1">MIN(INDIRECT("g"&amp;ROW(AL14)-AM14):G14)</f>
        <v>1267.6600000000001</v>
      </c>
      <c r="AM14">
        <f t="shared" si="8"/>
        <v>2</v>
      </c>
      <c r="AN14" s="14">
        <f t="shared" ca="1" si="9"/>
        <v>-2.0567419723707348E-2</v>
      </c>
      <c r="AO14" s="14">
        <f t="shared" ca="1" si="10"/>
        <v>-1.9097141619078495E-2</v>
      </c>
      <c r="AP14" s="193">
        <f t="shared" si="3"/>
        <v>0.27651053864168623</v>
      </c>
    </row>
    <row r="15" spans="1:42">
      <c r="A15" s="177">
        <v>39295</v>
      </c>
      <c r="B15" s="14">
        <v>1.83E-2</v>
      </c>
      <c r="C15" s="14">
        <v>9.9400000000000002E-2</v>
      </c>
      <c r="D15" s="14">
        <v>6.0000000000000001E-3</v>
      </c>
      <c r="E15" s="14">
        <v>1.5E-3</v>
      </c>
      <c r="F15" s="181">
        <v>944.61</v>
      </c>
      <c r="G15" s="181">
        <v>1428.52</v>
      </c>
      <c r="H15" s="181">
        <v>2390.4</v>
      </c>
      <c r="I15" s="181">
        <v>1000</v>
      </c>
      <c r="J15" s="14">
        <v>1.3365</v>
      </c>
      <c r="K15" s="14">
        <v>0.53129999999999999</v>
      </c>
      <c r="L15" s="14">
        <f t="shared" si="0"/>
        <v>-0.53129999999999999</v>
      </c>
      <c r="M15" s="14">
        <f t="shared" si="1"/>
        <v>1.8677999999999999</v>
      </c>
      <c r="N15" s="14">
        <f t="shared" si="2"/>
        <v>0.80520000000000003</v>
      </c>
      <c r="O15" s="14">
        <f>STDEV(B$5:B15)*SQRT(12)</f>
        <v>6.7496747396381312E-2</v>
      </c>
      <c r="P15" s="14">
        <f>STDEV(C$5:C15)*SQRT(12)</f>
        <v>0.17059715866758904</v>
      </c>
      <c r="Q15" s="181">
        <f t="shared" si="4"/>
        <v>1337.152345440938</v>
      </c>
      <c r="R15" s="14"/>
      <c r="S15" s="14"/>
      <c r="T15" s="14"/>
      <c r="U15" s="14"/>
      <c r="V15" s="14"/>
      <c r="W15" s="14"/>
      <c r="X15" s="14"/>
      <c r="Y15" s="14"/>
      <c r="Z15" s="14"/>
      <c r="AA15" s="14"/>
      <c r="AB15" s="14"/>
      <c r="AD15" s="14"/>
      <c r="AE15" s="14"/>
      <c r="AF15" s="181">
        <f>MAX(F$4:F15)</f>
        <v>1054.79</v>
      </c>
      <c r="AG15">
        <f ca="1">MIN(INDIRECT("f"&amp;ROW(AG15)-AH15):F15)</f>
        <v>944.61</v>
      </c>
      <c r="AH15">
        <f t="shared" si="5"/>
        <v>2</v>
      </c>
      <c r="AI15" s="14">
        <f t="shared" ca="1" si="6"/>
        <v>-0.10445681130841211</v>
      </c>
      <c r="AJ15" s="14">
        <f t="shared" ca="1" si="7"/>
        <v>-6.8597290421818502E-2</v>
      </c>
      <c r="AK15" s="181">
        <f>MAX(G$4:G15)</f>
        <v>1428.52</v>
      </c>
      <c r="AL15">
        <f ca="1">MIN(INDIRECT("g"&amp;ROW(AL15)-AM15):G15)</f>
        <v>1428.52</v>
      </c>
      <c r="AM15">
        <f t="shared" si="8"/>
        <v>0</v>
      </c>
      <c r="AN15" s="14" t="str">
        <f t="shared" ca="1" si="9"/>
        <v/>
      </c>
      <c r="AO15" s="14">
        <f t="shared" ca="1" si="10"/>
        <v>0.12689522427149225</v>
      </c>
      <c r="AP15" s="193">
        <f t="shared" si="3"/>
        <v>0.25155279503105593</v>
      </c>
    </row>
    <row r="16" spans="1:42">
      <c r="A16" s="177">
        <v>39326</v>
      </c>
      <c r="B16" s="14">
        <v>2.0400000000000001E-2</v>
      </c>
      <c r="C16" s="14">
        <v>7.1099999999999997E-2</v>
      </c>
      <c r="D16" s="14">
        <v>0.2301</v>
      </c>
      <c r="E16" s="14">
        <v>0</v>
      </c>
      <c r="F16" s="181">
        <v>961.9</v>
      </c>
      <c r="G16" s="181">
        <v>1286.53</v>
      </c>
      <c r="H16" s="181">
        <v>2376.06</v>
      </c>
      <c r="I16" s="181">
        <v>1001.5</v>
      </c>
      <c r="J16" s="14">
        <v>1.0217000000000001</v>
      </c>
      <c r="K16" s="14">
        <v>0.54910000000000003</v>
      </c>
      <c r="L16" s="14">
        <f t="shared" si="0"/>
        <v>-0.54910000000000003</v>
      </c>
      <c r="M16" s="14">
        <f t="shared" si="1"/>
        <v>1.5708000000000002</v>
      </c>
      <c r="N16" s="14">
        <f t="shared" si="2"/>
        <v>0.47260000000000002</v>
      </c>
      <c r="O16" s="14">
        <f>STDEV(B$5:B16)*SQRT(12)</f>
        <v>6.4430681567656287E-2</v>
      </c>
      <c r="P16" s="14">
        <f>STDEV(C$5:C16)*SQRT(12)</f>
        <v>0.16445775086076611</v>
      </c>
      <c r="Q16" s="181">
        <f t="shared" si="4"/>
        <v>1421.7671551791791</v>
      </c>
      <c r="R16" s="14"/>
      <c r="S16" s="14"/>
      <c r="T16" s="14"/>
      <c r="U16" s="14"/>
      <c r="V16" s="14"/>
      <c r="W16" s="14"/>
      <c r="X16" s="14"/>
      <c r="Y16" s="14"/>
      <c r="Z16" s="14"/>
      <c r="AA16" s="14"/>
      <c r="AB16" s="14"/>
      <c r="AD16" s="14"/>
      <c r="AE16" s="14"/>
      <c r="AF16" s="181">
        <f>MAX(F$4:F16)</f>
        <v>1054.79</v>
      </c>
      <c r="AG16">
        <f ca="1">MIN(INDIRECT("f"&amp;ROW(AG16)-AH16):F16)</f>
        <v>944.61</v>
      </c>
      <c r="AH16">
        <f t="shared" si="5"/>
        <v>3</v>
      </c>
      <c r="AI16" s="14" t="str">
        <f t="shared" ca="1" si="6"/>
        <v/>
      </c>
      <c r="AJ16" s="14">
        <f t="shared" ca="1" si="7"/>
        <v>0</v>
      </c>
      <c r="AK16" s="181">
        <f>MAX(G$4:G16)</f>
        <v>1428.52</v>
      </c>
      <c r="AL16">
        <f ca="1">MIN(INDIRECT("g"&amp;ROW(AL16)-AM16):G16)</f>
        <v>1286.53</v>
      </c>
      <c r="AM16">
        <f t="shared" si="8"/>
        <v>1</v>
      </c>
      <c r="AN16" s="14">
        <f t="shared" ca="1" si="9"/>
        <v>-9.9396578276818026E-2</v>
      </c>
      <c r="AO16" s="14">
        <f t="shared" ca="1" si="10"/>
        <v>-9.9396578276818026E-2</v>
      </c>
      <c r="AP16" s="193">
        <f t="shared" si="3"/>
        <v>0.18606811145510835</v>
      </c>
    </row>
    <row r="17" spans="1:42">
      <c r="A17" s="177">
        <v>39356</v>
      </c>
      <c r="B17" s="14">
        <v>5.7999999999999996E-3</v>
      </c>
      <c r="C17" s="14">
        <v>6.6500000000000004E-2</v>
      </c>
      <c r="D17" s="14">
        <v>2.9399999999999999E-2</v>
      </c>
      <c r="E17" s="14">
        <v>0</v>
      </c>
      <c r="F17" s="181">
        <v>981.52</v>
      </c>
      <c r="G17" s="181">
        <v>1378</v>
      </c>
      <c r="H17" s="181">
        <v>1829.33</v>
      </c>
      <c r="I17" s="181">
        <v>1001.5</v>
      </c>
      <c r="J17" s="14">
        <v>0.9022</v>
      </c>
      <c r="K17" s="14">
        <v>0.51870000000000005</v>
      </c>
      <c r="L17" s="14">
        <f t="shared" si="0"/>
        <v>-0.51870000000000005</v>
      </c>
      <c r="M17" s="14">
        <f t="shared" si="1"/>
        <v>1.4209000000000001</v>
      </c>
      <c r="N17" s="14">
        <f t="shared" si="2"/>
        <v>0.38349999999999995</v>
      </c>
      <c r="O17" s="14">
        <f>STDEV(B$5:B17)*SQRT(12)</f>
        <v>6.3925341068853336E-2</v>
      </c>
      <c r="P17" s="14">
        <f>STDEV(C$5:C17)*SQRT(12)</f>
        <v>0.15836595885188495</v>
      </c>
      <c r="Q17" s="181">
        <f t="shared" si="4"/>
        <v>1492.9105465038604</v>
      </c>
      <c r="R17" s="14">
        <f>F17/F5-1</f>
        <v>-1.8480000000000052E-2</v>
      </c>
      <c r="S17" s="14">
        <f>G17/G5-1</f>
        <v>0.37799999999999989</v>
      </c>
      <c r="T17" s="14">
        <f>S17-R17</f>
        <v>0.39647999999999994</v>
      </c>
      <c r="U17" s="14">
        <f>AVERAGE($N$5:$N17)</f>
        <v>0.53996923076923076</v>
      </c>
      <c r="V17" s="14">
        <f>(N17-U17)*R17</f>
        <v>2.8915513846153934E-3</v>
      </c>
      <c r="W17" s="14">
        <f>R17*U17</f>
        <v>-9.9786313846154124E-3</v>
      </c>
      <c r="X17" s="14">
        <f>S17-(V17+W17)</f>
        <v>0.38508707999999992</v>
      </c>
      <c r="Y17" s="14">
        <f>ABS(V17)+ABS(W17)+ABS(X17)</f>
        <v>0.39795726276923071</v>
      </c>
      <c r="Z17" s="14">
        <f>(V17/Y17)</f>
        <v>7.2659847052274039E-3</v>
      </c>
      <c r="AA17" s="14">
        <f>(W17/Y17)</f>
        <v>-2.5074630665559348E-2</v>
      </c>
      <c r="AB17" s="14">
        <f>(X17/Y17)</f>
        <v>0.9676593846292133</v>
      </c>
      <c r="AC17">
        <f>ABS(AB17)+ABS(AA17)+ABS(Z17)</f>
        <v>1</v>
      </c>
      <c r="AD17" s="14">
        <f>F17/F5^(12/$AE$2)-1</f>
        <v>-1.8480000000000052E-2</v>
      </c>
      <c r="AE17" s="14">
        <f>G17/G5^(12/$AE$2)-1</f>
        <v>0.37799999999999989</v>
      </c>
      <c r="AF17" s="181">
        <f>MAX(F$4:F17)</f>
        <v>1054.79</v>
      </c>
      <c r="AG17">
        <f ca="1">MIN(INDIRECT("f"&amp;ROW(AG17)-AH17):F17)</f>
        <v>944.61</v>
      </c>
      <c r="AH17">
        <f t="shared" si="5"/>
        <v>4</v>
      </c>
      <c r="AI17" s="14" t="str">
        <f t="shared" ca="1" si="6"/>
        <v/>
      </c>
      <c r="AJ17" s="14">
        <f t="shared" ca="1" si="7"/>
        <v>0</v>
      </c>
      <c r="AK17" s="181">
        <f>MAX(G$4:G17)</f>
        <v>1428.52</v>
      </c>
      <c r="AL17">
        <f ca="1">MIN(INDIRECT("g"&amp;ROW(AL17)-AM17):G17)</f>
        <v>1286.53</v>
      </c>
      <c r="AM17">
        <f t="shared" si="8"/>
        <v>2</v>
      </c>
      <c r="AN17" s="14" t="str">
        <f t="shared" ca="1" si="9"/>
        <v/>
      </c>
      <c r="AO17" s="14">
        <f t="shared" ca="1" si="10"/>
        <v>0</v>
      </c>
      <c r="AP17" s="193">
        <f t="shared" si="3"/>
        <v>0.1739348370927318</v>
      </c>
    </row>
    <row r="18" spans="1:42">
      <c r="A18" s="177">
        <v>39387</v>
      </c>
      <c r="B18" s="14">
        <v>3.5200000000000002E-2</v>
      </c>
      <c r="C18" s="14">
        <v>6.3E-2</v>
      </c>
      <c r="D18" s="14">
        <v>0.23419999999999999</v>
      </c>
      <c r="E18" s="14">
        <v>0</v>
      </c>
      <c r="F18" s="181">
        <v>987.21</v>
      </c>
      <c r="G18" s="181">
        <v>1469.64</v>
      </c>
      <c r="H18" s="181">
        <v>1883.11</v>
      </c>
      <c r="I18" s="181">
        <v>1001.5</v>
      </c>
      <c r="J18" s="14">
        <v>0.93169999999999997</v>
      </c>
      <c r="K18" s="14">
        <v>0.34420000000000001</v>
      </c>
      <c r="L18" s="14">
        <f t="shared" si="0"/>
        <v>-0.34420000000000001</v>
      </c>
      <c r="M18" s="14">
        <f t="shared" si="1"/>
        <v>1.2759</v>
      </c>
      <c r="N18" s="14">
        <f t="shared" si="2"/>
        <v>0.58749999999999991</v>
      </c>
      <c r="O18" s="14">
        <f>STDEV(B$5:B18)*SQRT(12)</f>
        <v>6.2638260259618037E-2</v>
      </c>
      <c r="P18" s="14">
        <f>STDEV(C$5:C18)*SQRT(12)</f>
        <v>0.15261277869097406</v>
      </c>
      <c r="Q18" s="181">
        <f t="shared" si="4"/>
        <v>1570.7211518353963</v>
      </c>
      <c r="R18" s="14">
        <f t="shared" ref="R18:R54" si="11">F18/F6-1</f>
        <v>-2.1207614515169504E-2</v>
      </c>
      <c r="S18" s="14">
        <f t="shared" ref="S18:S54" si="12">G18/G6-1</f>
        <v>0.4630562468889996</v>
      </c>
      <c r="T18" s="14">
        <f t="shared" ref="T18:T54" si="13">S18-R18</f>
        <v>0.4842638614041691</v>
      </c>
      <c r="U18" s="14">
        <f>AVERAGE($N$5:$N18)</f>
        <v>0.54336428571428574</v>
      </c>
      <c r="V18" s="14">
        <f t="shared" ref="V18:V54" si="14">(N18-U18)*R18</f>
        <v>-9.3601321492308581E-4</v>
      </c>
      <c r="W18" s="14">
        <f t="shared" ref="W18:W54" si="15">R18*U18</f>
        <v>-1.1523460312738995E-2</v>
      </c>
      <c r="X18" s="14">
        <f t="shared" ref="X18:X54" si="16">S18-(V18+W18)</f>
        <v>0.47551572041666168</v>
      </c>
      <c r="Y18" s="14">
        <f t="shared" ref="Y18:Y54" si="17">ABS(V18)+ABS(W18)+ABS(X18)</f>
        <v>0.48797519394432376</v>
      </c>
      <c r="Z18" s="14">
        <f t="shared" ref="Z18:Z54" si="18">(V18/Y18)</f>
        <v>-1.9181573705770822E-3</v>
      </c>
      <c r="AA18" s="14">
        <f t="shared" ref="AA18:AA54" si="19">(W18/Y18)</f>
        <v>-2.3614848573744882E-2</v>
      </c>
      <c r="AB18" s="14">
        <f t="shared" ref="AB18:AB54" si="20">(X18/Y18)</f>
        <v>0.97446699405567805</v>
      </c>
      <c r="AC18">
        <f t="shared" ref="AC18:AC54" si="21">ABS(AB18)+ABS(AA18)+ABS(Z18)</f>
        <v>1</v>
      </c>
      <c r="AD18" s="14">
        <f t="shared" ref="AD18:AD54" si="22">F18/F6^(12/$AE$2)-1</f>
        <v>-2.1207614515169504E-2</v>
      </c>
      <c r="AE18" s="14">
        <f t="shared" ref="AE18:AE54" si="23">G18/G6^(12/$AE$2)-1</f>
        <v>0.4630562468889996</v>
      </c>
      <c r="AF18" s="181">
        <f>MAX(F$4:F18)</f>
        <v>1054.79</v>
      </c>
      <c r="AG18">
        <f ca="1">MIN(INDIRECT("f"&amp;ROW(AG18)-AH18):F18)</f>
        <v>944.61</v>
      </c>
      <c r="AH18">
        <f t="shared" si="5"/>
        <v>5</v>
      </c>
      <c r="AI18" s="14" t="str">
        <f t="shared" ca="1" si="6"/>
        <v/>
      </c>
      <c r="AJ18" s="14">
        <f t="shared" ca="1" si="7"/>
        <v>0</v>
      </c>
      <c r="AK18" s="181">
        <f>MAX(G$4:G18)</f>
        <v>1469.64</v>
      </c>
      <c r="AL18">
        <f ca="1">MIN(INDIRECT("g"&amp;ROW(AL18)-AM18):G18)</f>
        <v>1469.64</v>
      </c>
      <c r="AM18">
        <f t="shared" si="8"/>
        <v>0</v>
      </c>
      <c r="AN18" s="14" t="str">
        <f t="shared" ca="1" si="9"/>
        <v/>
      </c>
      <c r="AO18" s="14">
        <f t="shared" ca="1" si="10"/>
        <v>0.14232858930611814</v>
      </c>
      <c r="AP18" s="193">
        <f t="shared" si="3"/>
        <v>0.27068564787914001</v>
      </c>
    </row>
    <row r="19" spans="1:42">
      <c r="A19" s="177">
        <v>39417</v>
      </c>
      <c r="B19" s="14">
        <v>2.6100000000000002E-2</v>
      </c>
      <c r="C19" s="14">
        <v>1.8200000000000001E-2</v>
      </c>
      <c r="D19" s="14">
        <v>1.6199999999999999E-2</v>
      </c>
      <c r="E19" s="14">
        <v>0</v>
      </c>
      <c r="F19" s="181">
        <v>952.46</v>
      </c>
      <c r="G19" s="181">
        <v>1562.23</v>
      </c>
      <c r="H19" s="181">
        <v>2324.14</v>
      </c>
      <c r="I19" s="181">
        <v>1001.5</v>
      </c>
      <c r="J19" s="14">
        <v>0.79349999999999998</v>
      </c>
      <c r="K19" s="14">
        <v>0.26169999999999999</v>
      </c>
      <c r="L19" s="14">
        <f t="shared" si="0"/>
        <v>-0.26169999999999999</v>
      </c>
      <c r="M19" s="14">
        <f t="shared" si="1"/>
        <v>1.0551999999999999</v>
      </c>
      <c r="N19" s="14">
        <f t="shared" si="2"/>
        <v>0.53180000000000005</v>
      </c>
      <c r="O19" s="14">
        <f>STDEV(B$5:B19)*SQRT(12)</f>
        <v>6.0429387363623459E-2</v>
      </c>
      <c r="P19" s="14">
        <f>STDEV(C$5:C19)*SQRT(12)</f>
        <v>0.14998157982137106</v>
      </c>
      <c r="Q19" s="181">
        <f t="shared" si="4"/>
        <v>1664.4999924017629</v>
      </c>
      <c r="R19" s="14">
        <f t="shared" si="11"/>
        <v>-6.3055796017942756E-2</v>
      </c>
      <c r="S19" s="14">
        <f t="shared" si="12"/>
        <v>0.51464001085881583</v>
      </c>
      <c r="T19" s="14">
        <f t="shared" si="13"/>
        <v>0.57769580687675859</v>
      </c>
      <c r="U19" s="14">
        <f>AVERAGE($N$5:$N19)</f>
        <v>0.54259333333333337</v>
      </c>
      <c r="V19" s="14">
        <f t="shared" si="14"/>
        <v>6.8058222502032811E-4</v>
      </c>
      <c r="W19" s="14">
        <f t="shared" si="15"/>
        <v>-3.4213654547362291E-2</v>
      </c>
      <c r="X19" s="14">
        <f t="shared" si="16"/>
        <v>0.54817308318115776</v>
      </c>
      <c r="Y19" s="14">
        <f t="shared" si="17"/>
        <v>0.58306731995354033</v>
      </c>
      <c r="Z19" s="14">
        <f t="shared" si="18"/>
        <v>1.1672446760942765E-3</v>
      </c>
      <c r="AA19" s="14">
        <f t="shared" si="19"/>
        <v>-5.8678738074513397E-2</v>
      </c>
      <c r="AB19" s="14">
        <f t="shared" si="20"/>
        <v>0.9401540172493924</v>
      </c>
      <c r="AC19">
        <f t="shared" si="21"/>
        <v>1</v>
      </c>
      <c r="AD19" s="14">
        <f t="shared" si="22"/>
        <v>-6.3055796017942756E-2</v>
      </c>
      <c r="AE19" s="14">
        <f t="shared" si="23"/>
        <v>0.51464001085881583</v>
      </c>
      <c r="AF19" s="181">
        <f>MAX(F$4:F19)</f>
        <v>1054.79</v>
      </c>
      <c r="AG19">
        <f ca="1">MIN(INDIRECT("f"&amp;ROW(AG19)-AH19):F19)</f>
        <v>944.61</v>
      </c>
      <c r="AH19">
        <f t="shared" si="5"/>
        <v>6</v>
      </c>
      <c r="AI19" s="14" t="str">
        <f t="shared" ca="1" si="6"/>
        <v/>
      </c>
      <c r="AJ19" s="14">
        <f t="shared" ca="1" si="7"/>
        <v>0</v>
      </c>
      <c r="AK19" s="181">
        <f>MAX(G$4:G19)</f>
        <v>1562.23</v>
      </c>
      <c r="AL19">
        <f ca="1">MIN(INDIRECT("g"&amp;ROW(AL19)-AM19):G19)</f>
        <v>1562.23</v>
      </c>
      <c r="AM19">
        <f t="shared" si="8"/>
        <v>0</v>
      </c>
      <c r="AN19" s="14" t="str">
        <f t="shared" ca="1" si="9"/>
        <v/>
      </c>
      <c r="AO19" s="14">
        <f t="shared" ca="1" si="10"/>
        <v>6.3001823575841609E-2</v>
      </c>
      <c r="AP19" s="193">
        <f t="shared" si="3"/>
        <v>0.30320978219335115</v>
      </c>
    </row>
    <row r="20" spans="1:42">
      <c r="A20" s="177">
        <v>39448</v>
      </c>
      <c r="B20" s="14">
        <v>1.6299999999999999E-2</v>
      </c>
      <c r="C20" s="14">
        <v>9.9000000000000008E-3</v>
      </c>
      <c r="D20" s="14">
        <v>0.16439999999999999</v>
      </c>
      <c r="E20" s="14">
        <v>0</v>
      </c>
      <c r="F20" s="181">
        <v>927.6</v>
      </c>
      <c r="G20" s="181">
        <v>1590.66</v>
      </c>
      <c r="H20" s="181">
        <v>2286.4899999999998</v>
      </c>
      <c r="I20" s="181">
        <v>1001.5</v>
      </c>
      <c r="J20" s="14">
        <v>0.67810000000000004</v>
      </c>
      <c r="K20" s="14">
        <v>0.29420000000000002</v>
      </c>
      <c r="L20" s="14">
        <f t="shared" si="0"/>
        <v>-0.29420000000000002</v>
      </c>
      <c r="M20" s="14">
        <f t="shared" si="1"/>
        <v>0.97230000000000005</v>
      </c>
      <c r="N20" s="14">
        <f t="shared" si="2"/>
        <v>0.38390000000000002</v>
      </c>
      <c r="O20" s="14">
        <f>STDEV(B$5:B20)*SQRT(12)</f>
        <v>5.8674287383827656E-2</v>
      </c>
      <c r="P20" s="14">
        <f>STDEV(C$5:C20)*SQRT(12)</f>
        <v>0.14878690634595507</v>
      </c>
      <c r="Q20" s="181">
        <f t="shared" si="4"/>
        <v>1695.6569397037399</v>
      </c>
      <c r="R20" s="14">
        <f t="shared" si="11"/>
        <v>-0.10329160423413408</v>
      </c>
      <c r="S20" s="14">
        <f t="shared" si="12"/>
        <v>0.49294664226383222</v>
      </c>
      <c r="T20" s="14">
        <f t="shared" si="13"/>
        <v>0.59623824649796631</v>
      </c>
      <c r="U20" s="14">
        <f>AVERAGE($N$5:$N20)</f>
        <v>0.53267500000000012</v>
      </c>
      <c r="V20" s="14">
        <f t="shared" si="14"/>
        <v>1.5367208419933309E-2</v>
      </c>
      <c r="W20" s="14">
        <f t="shared" si="15"/>
        <v>-5.5020855285417385E-2</v>
      </c>
      <c r="X20" s="14">
        <f t="shared" si="16"/>
        <v>0.53260028912931634</v>
      </c>
      <c r="Y20" s="14">
        <f t="shared" si="17"/>
        <v>0.60298835283466701</v>
      </c>
      <c r="Z20" s="14">
        <f t="shared" si="18"/>
        <v>2.5485083331529677E-2</v>
      </c>
      <c r="AA20" s="14">
        <f t="shared" si="19"/>
        <v>-9.1246961946715277E-2</v>
      </c>
      <c r="AB20" s="14">
        <f t="shared" si="20"/>
        <v>0.88326795472175512</v>
      </c>
      <c r="AC20">
        <f t="shared" si="21"/>
        <v>1</v>
      </c>
      <c r="AD20" s="14">
        <f t="shared" si="22"/>
        <v>-0.10329160423413408</v>
      </c>
      <c r="AE20" s="14">
        <f t="shared" si="23"/>
        <v>0.49294664226383222</v>
      </c>
      <c r="AF20" s="181">
        <f>MAX(F$4:F20)</f>
        <v>1054.79</v>
      </c>
      <c r="AG20">
        <f ca="1">MIN(INDIRECT("f"&amp;ROW(AG20)-AH20):F20)</f>
        <v>927.6</v>
      </c>
      <c r="AH20">
        <f t="shared" si="5"/>
        <v>7</v>
      </c>
      <c r="AI20" s="14">
        <f t="shared" ca="1" si="6"/>
        <v>-0.12058324405805887</v>
      </c>
      <c r="AJ20" s="14">
        <f t="shared" ca="1" si="7"/>
        <v>-1.8007431638453975E-2</v>
      </c>
      <c r="AK20" s="181">
        <f>MAX(G$4:G20)</f>
        <v>1590.66</v>
      </c>
      <c r="AL20">
        <f ca="1">MIN(INDIRECT("g"&amp;ROW(AL20)-AM20):G20)</f>
        <v>1590.66</v>
      </c>
      <c r="AM20">
        <f t="shared" si="8"/>
        <v>0</v>
      </c>
      <c r="AN20" s="14" t="str">
        <f t="shared" ca="1" si="9"/>
        <v/>
      </c>
      <c r="AO20" s="14">
        <f t="shared" ca="1" si="10"/>
        <v>1.8198344673959754E-2</v>
      </c>
      <c r="AP20" s="193">
        <f t="shared" si="3"/>
        <v>0.2304894629503739</v>
      </c>
    </row>
    <row r="21" spans="1:42">
      <c r="A21" s="177">
        <v>39479</v>
      </c>
      <c r="B21" s="14">
        <v>8.2299999999999998E-2</v>
      </c>
      <c r="C21" s="14">
        <v>1.54E-2</v>
      </c>
      <c r="D21" s="14">
        <v>1.2999999999999999E-2</v>
      </c>
      <c r="E21" s="14">
        <v>2.5000000000000001E-3</v>
      </c>
      <c r="F21" s="181">
        <v>912.48</v>
      </c>
      <c r="G21" s="181">
        <v>1574.91</v>
      </c>
      <c r="H21" s="181">
        <v>2662.39</v>
      </c>
      <c r="I21" s="181">
        <v>1001.5</v>
      </c>
      <c r="J21" s="14">
        <v>0.83169999999999999</v>
      </c>
      <c r="K21" s="14">
        <v>0.36880000000000002</v>
      </c>
      <c r="L21" s="14">
        <f t="shared" si="0"/>
        <v>-0.36880000000000002</v>
      </c>
      <c r="M21" s="14">
        <f t="shared" si="1"/>
        <v>1.2004999999999999</v>
      </c>
      <c r="N21" s="14">
        <f t="shared" si="2"/>
        <v>0.46289999999999998</v>
      </c>
      <c r="O21" s="14">
        <f>STDEV(B$5:B21)*SQRT(12)</f>
        <v>7.5756985700019389E-2</v>
      </c>
      <c r="P21" s="14">
        <f>STDEV(C$5:C21)*SQRT(12)</f>
        <v>0.14641177929950538</v>
      </c>
      <c r="Q21" s="181">
        <f t="shared" si="4"/>
        <v>1709.6402830632292</v>
      </c>
      <c r="R21" s="14">
        <f t="shared" si="11"/>
        <v>-0.11737906619076632</v>
      </c>
      <c r="S21" s="14">
        <f t="shared" si="12"/>
        <v>0.47344834683681691</v>
      </c>
      <c r="T21" s="14">
        <f t="shared" si="13"/>
        <v>0.59082741302758324</v>
      </c>
      <c r="U21" s="14">
        <f>AVERAGE($N$5:$N21)</f>
        <v>0.52857058823529424</v>
      </c>
      <c r="V21" s="14">
        <f t="shared" si="14"/>
        <v>7.7083523232571649E-3</v>
      </c>
      <c r="W21" s="14">
        <f t="shared" si="15"/>
        <v>-6.2043122062962891E-2</v>
      </c>
      <c r="X21" s="14">
        <f t="shared" si="16"/>
        <v>0.52778311657652266</v>
      </c>
      <c r="Y21" s="14">
        <f t="shared" si="17"/>
        <v>0.59753459096274275</v>
      </c>
      <c r="Z21" s="14">
        <f t="shared" si="18"/>
        <v>1.2900261239834721E-2</v>
      </c>
      <c r="AA21" s="14">
        <f t="shared" si="19"/>
        <v>-0.10383185007415141</v>
      </c>
      <c r="AB21" s="14">
        <f t="shared" si="20"/>
        <v>0.8832678886860138</v>
      </c>
      <c r="AC21">
        <f t="shared" si="21"/>
        <v>0.99999999999999989</v>
      </c>
      <c r="AD21" s="14">
        <f t="shared" si="22"/>
        <v>-0.11737906619076632</v>
      </c>
      <c r="AE21" s="14">
        <f t="shared" si="23"/>
        <v>0.47344834683681691</v>
      </c>
      <c r="AF21" s="181">
        <f>MAX(F$4:F21)</f>
        <v>1054.79</v>
      </c>
      <c r="AG21">
        <f ca="1">MIN(INDIRECT("f"&amp;ROW(AG21)-AH21):F21)</f>
        <v>912.48</v>
      </c>
      <c r="AH21">
        <f t="shared" si="5"/>
        <v>8</v>
      </c>
      <c r="AI21" s="14">
        <f t="shared" ca="1" si="6"/>
        <v>-0.13491785094663389</v>
      </c>
      <c r="AJ21" s="14">
        <f t="shared" ca="1" si="7"/>
        <v>-1.6300129366106031E-2</v>
      </c>
      <c r="AK21" s="181">
        <f>MAX(G$4:G21)</f>
        <v>1590.66</v>
      </c>
      <c r="AL21">
        <f ca="1">MIN(INDIRECT("g"&amp;ROW(AL21)-AM21):G21)</f>
        <v>1574.91</v>
      </c>
      <c r="AM21">
        <f t="shared" si="8"/>
        <v>1</v>
      </c>
      <c r="AN21" s="14">
        <f t="shared" ca="1" si="9"/>
        <v>-9.9015502998754945E-3</v>
      </c>
      <c r="AO21" s="14">
        <f t="shared" ca="1" si="10"/>
        <v>-9.9015502998754945E-3</v>
      </c>
      <c r="AP21" s="193">
        <f t="shared" si="3"/>
        <v>0.22551518438177873</v>
      </c>
    </row>
    <row r="22" spans="1:42">
      <c r="A22" s="177">
        <v>39508</v>
      </c>
      <c r="B22" s="14">
        <v>6.7000000000000002E-3</v>
      </c>
      <c r="C22" s="14">
        <v>8.0199999999999994E-2</v>
      </c>
      <c r="D22" s="14">
        <v>3.5000000000000003E-2</v>
      </c>
      <c r="E22" s="14">
        <v>0</v>
      </c>
      <c r="F22" s="181">
        <v>837.38</v>
      </c>
      <c r="G22" s="181">
        <v>1599.16</v>
      </c>
      <c r="H22" s="181">
        <v>2697</v>
      </c>
      <c r="I22" s="181">
        <v>1004</v>
      </c>
      <c r="J22" s="14">
        <v>0.72</v>
      </c>
      <c r="K22" s="14">
        <v>0.48070000000000002</v>
      </c>
      <c r="L22" s="14">
        <f t="shared" si="0"/>
        <v>-0.48070000000000002</v>
      </c>
      <c r="M22" s="14">
        <f t="shared" si="1"/>
        <v>1.2006999999999999</v>
      </c>
      <c r="N22" s="14">
        <f t="shared" si="2"/>
        <v>0.23929999999999996</v>
      </c>
      <c r="O22" s="14">
        <f>STDEV(B$5:B22)*SQRT(12)</f>
        <v>7.5192792729299351E-2</v>
      </c>
      <c r="P22" s="14">
        <f>STDEV(C$5:C22)*SQRT(12)</f>
        <v>0.1449733836288038</v>
      </c>
      <c r="Q22" s="181">
        <f t="shared" si="4"/>
        <v>1731.5678756002274</v>
      </c>
      <c r="R22" s="14">
        <f t="shared" si="11"/>
        <v>-0.17264751215270913</v>
      </c>
      <c r="S22" s="14">
        <f t="shared" si="12"/>
        <v>0.49076637674674428</v>
      </c>
      <c r="T22" s="14">
        <f t="shared" si="13"/>
        <v>0.66341388889945341</v>
      </c>
      <c r="U22" s="14">
        <f>AVERAGE($N$5:$N22)</f>
        <v>0.51250000000000007</v>
      </c>
      <c r="V22" s="14">
        <f t="shared" si="14"/>
        <v>4.7167300320120155E-2</v>
      </c>
      <c r="W22" s="14">
        <f t="shared" si="15"/>
        <v>-8.8481849978263444E-2</v>
      </c>
      <c r="X22" s="14">
        <f t="shared" si="16"/>
        <v>0.53208092640488758</v>
      </c>
      <c r="Y22" s="14">
        <f t="shared" si="17"/>
        <v>0.66773007670327122</v>
      </c>
      <c r="Z22" s="14">
        <f t="shared" si="18"/>
        <v>7.0638274305383081E-2</v>
      </c>
      <c r="AA22" s="14">
        <f t="shared" si="19"/>
        <v>-0.13251140403187708</v>
      </c>
      <c r="AB22" s="14">
        <f t="shared" si="20"/>
        <v>0.79685032166273972</v>
      </c>
      <c r="AC22">
        <f t="shared" si="21"/>
        <v>0.99999999999999989</v>
      </c>
      <c r="AD22" s="14">
        <f t="shared" si="22"/>
        <v>-0.17264751215270913</v>
      </c>
      <c r="AE22" s="14">
        <f t="shared" si="23"/>
        <v>0.49076637674674428</v>
      </c>
      <c r="AF22" s="181">
        <f>MAX(F$4:F22)</f>
        <v>1054.79</v>
      </c>
      <c r="AG22">
        <f ca="1">MIN(INDIRECT("f"&amp;ROW(AG22)-AH22):F22)</f>
        <v>837.38</v>
      </c>
      <c r="AH22">
        <f t="shared" si="5"/>
        <v>9</v>
      </c>
      <c r="AI22" s="14">
        <f t="shared" ca="1" si="6"/>
        <v>-0.20611685738393426</v>
      </c>
      <c r="AJ22" s="14">
        <f t="shared" ca="1" si="7"/>
        <v>-8.2303173768192184E-2</v>
      </c>
      <c r="AK22" s="181">
        <f>MAX(G$4:G22)</f>
        <v>1599.16</v>
      </c>
      <c r="AL22">
        <f ca="1">MIN(INDIRECT("g"&amp;ROW(AL22)-AM22):G22)</f>
        <v>1599.16</v>
      </c>
      <c r="AM22">
        <f t="shared" si="8"/>
        <v>0</v>
      </c>
      <c r="AN22" s="14" t="str">
        <f t="shared" ca="1" si="9"/>
        <v/>
      </c>
      <c r="AO22" s="14">
        <f t="shared" ca="1" si="10"/>
        <v>1.5397705265697725E-2</v>
      </c>
      <c r="AP22" s="193">
        <f t="shared" si="3"/>
        <v>0.1497815685458706</v>
      </c>
    </row>
    <row r="23" spans="1:42">
      <c r="A23" s="177">
        <v>39539</v>
      </c>
      <c r="B23" s="14">
        <v>3.27E-2</v>
      </c>
      <c r="C23" s="14">
        <v>5.2400000000000002E-2</v>
      </c>
      <c r="D23" s="14">
        <v>0.18820000000000001</v>
      </c>
      <c r="E23" s="14">
        <v>0</v>
      </c>
      <c r="F23" s="181">
        <v>831.77</v>
      </c>
      <c r="G23" s="181">
        <v>1470.91</v>
      </c>
      <c r="H23" s="181">
        <v>2602.6</v>
      </c>
      <c r="I23" s="181">
        <v>1004</v>
      </c>
      <c r="J23" s="14">
        <v>0.93359999999999999</v>
      </c>
      <c r="K23" s="14">
        <v>0.32929999999999998</v>
      </c>
      <c r="L23" s="14">
        <f t="shared" si="0"/>
        <v>-0.32929999999999998</v>
      </c>
      <c r="M23" s="14">
        <f t="shared" si="1"/>
        <v>1.2628999999999999</v>
      </c>
      <c r="N23" s="14">
        <f t="shared" si="2"/>
        <v>0.60430000000000006</v>
      </c>
      <c r="O23" s="14">
        <f>STDEV(B$5:B23)*SQRT(12)</f>
        <v>7.3324900631583395E-2</v>
      </c>
      <c r="P23" s="14">
        <f>STDEV(C$5:C23)*SQRT(12)</f>
        <v>0.14096317797162372</v>
      </c>
      <c r="Q23" s="181">
        <f t="shared" si="4"/>
        <v>1841.5304566621787</v>
      </c>
      <c r="R23" s="14">
        <f t="shared" si="11"/>
        <v>-0.16355426836013309</v>
      </c>
      <c r="S23" s="14">
        <f t="shared" si="12"/>
        <v>0.22669880241518503</v>
      </c>
      <c r="T23" s="14">
        <f t="shared" si="13"/>
        <v>0.39025307077531812</v>
      </c>
      <c r="U23" s="14">
        <f>AVERAGE($N$5:$N23)</f>
        <v>0.51733157894736848</v>
      </c>
      <c r="V23" s="14">
        <f t="shared" si="14"/>
        <v>-1.4224056475699154E-2</v>
      </c>
      <c r="W23" s="14">
        <f t="shared" si="15"/>
        <v>-8.4611787894329285E-2</v>
      </c>
      <c r="X23" s="14">
        <f t="shared" si="16"/>
        <v>0.32553464678521349</v>
      </c>
      <c r="Y23" s="14">
        <f t="shared" si="17"/>
        <v>0.42437049115524195</v>
      </c>
      <c r="Z23" s="14">
        <f t="shared" si="18"/>
        <v>-3.3518014970781163E-2</v>
      </c>
      <c r="AA23" s="14">
        <f t="shared" si="19"/>
        <v>-0.19938188365547041</v>
      </c>
      <c r="AB23" s="14">
        <f t="shared" si="20"/>
        <v>0.7671001013737484</v>
      </c>
      <c r="AC23">
        <f t="shared" si="21"/>
        <v>1</v>
      </c>
      <c r="AD23" s="14">
        <f t="shared" si="22"/>
        <v>-0.16355426836013309</v>
      </c>
      <c r="AE23" s="14">
        <f t="shared" si="23"/>
        <v>0.22669880241518503</v>
      </c>
      <c r="AF23" s="181">
        <f>MAX(F$4:F23)</f>
        <v>1054.79</v>
      </c>
      <c r="AG23">
        <f ca="1">MIN(INDIRECT("f"&amp;ROW(AG23)-AH23):F23)</f>
        <v>831.77</v>
      </c>
      <c r="AH23">
        <f t="shared" si="5"/>
        <v>10</v>
      </c>
      <c r="AI23" s="14">
        <f t="shared" ca="1" si="6"/>
        <v>-0.21143545160648092</v>
      </c>
      <c r="AJ23" s="14">
        <f t="shared" ca="1" si="7"/>
        <v>-6.6994673863718379E-3</v>
      </c>
      <c r="AK23" s="181">
        <f>MAX(G$4:G23)</f>
        <v>1599.16</v>
      </c>
      <c r="AL23">
        <f ca="1">MIN(INDIRECT("g"&amp;ROW(AL23)-AM23):G23)</f>
        <v>1470.91</v>
      </c>
      <c r="AM23">
        <f t="shared" si="8"/>
        <v>1</v>
      </c>
      <c r="AN23" s="14">
        <f t="shared" ca="1" si="9"/>
        <v>-8.0198354135921357E-2</v>
      </c>
      <c r="AO23" s="14">
        <f t="shared" ca="1" si="10"/>
        <v>-8.0198354135921357E-2</v>
      </c>
      <c r="AP23" s="193">
        <f t="shared" si="3"/>
        <v>0.28351047676890373</v>
      </c>
    </row>
    <row r="24" spans="1:42">
      <c r="A24" s="177">
        <v>39569</v>
      </c>
      <c r="B24" s="14">
        <v>1.2E-2</v>
      </c>
      <c r="C24" s="14">
        <v>5.5999999999999999E-3</v>
      </c>
      <c r="D24" s="14">
        <v>0.1424</v>
      </c>
      <c r="E24" s="14">
        <v>1.2999999999999999E-3</v>
      </c>
      <c r="F24" s="181">
        <v>858.97</v>
      </c>
      <c r="G24" s="181">
        <v>1547.99</v>
      </c>
      <c r="H24" s="181">
        <v>2112.79</v>
      </c>
      <c r="I24" s="181">
        <v>1004</v>
      </c>
      <c r="J24" s="14">
        <v>0.98009999999999997</v>
      </c>
      <c r="K24" s="14">
        <v>0.28810000000000002</v>
      </c>
      <c r="L24" s="14">
        <f t="shared" si="0"/>
        <v>-0.28810000000000002</v>
      </c>
      <c r="M24" s="14">
        <f t="shared" si="1"/>
        <v>1.2682</v>
      </c>
      <c r="N24" s="14">
        <f t="shared" si="2"/>
        <v>0.69199999999999995</v>
      </c>
      <c r="O24" s="14">
        <f>STDEV(B$5:B24)*SQRT(12)</f>
        <v>7.2128873698766638E-2</v>
      </c>
      <c r="P24" s="14">
        <f>STDEV(C$5:C24)*SQRT(12)</f>
        <v>0.1408910833531386</v>
      </c>
      <c r="Q24" s="181">
        <f t="shared" si="4"/>
        <v>1917.6195561173893</v>
      </c>
      <c r="R24" s="14">
        <f t="shared" si="11"/>
        <v>-0.15030862976298809</v>
      </c>
      <c r="S24" s="14">
        <f t="shared" si="12"/>
        <v>0.19602404425626596</v>
      </c>
      <c r="T24" s="14">
        <f t="shared" si="13"/>
        <v>0.34633267401925405</v>
      </c>
      <c r="U24" s="14">
        <f>AVERAGE($N$5:$N24)</f>
        <v>0.52606500000000012</v>
      </c>
      <c r="V24" s="14">
        <f t="shared" si="14"/>
        <v>-2.4941462479721403E-2</v>
      </c>
      <c r="W24" s="14">
        <f t="shared" si="15"/>
        <v>-7.9072109316266348E-2</v>
      </c>
      <c r="X24" s="14">
        <f t="shared" si="16"/>
        <v>0.30003761605225371</v>
      </c>
      <c r="Y24" s="14">
        <f t="shared" si="17"/>
        <v>0.40405118784824146</v>
      </c>
      <c r="Z24" s="14">
        <f t="shared" si="18"/>
        <v>-6.1728472109056701E-2</v>
      </c>
      <c r="AA24" s="14">
        <f t="shared" si="19"/>
        <v>-0.19569824738633174</v>
      </c>
      <c r="AB24" s="14">
        <f t="shared" si="20"/>
        <v>0.74257328050461158</v>
      </c>
      <c r="AC24">
        <f t="shared" si="21"/>
        <v>1</v>
      </c>
      <c r="AD24" s="14">
        <f t="shared" si="22"/>
        <v>-0.15030862976298809</v>
      </c>
      <c r="AE24" s="14">
        <f t="shared" si="23"/>
        <v>0.19602404425626596</v>
      </c>
      <c r="AF24" s="181">
        <f>MAX(F$4:F24)</f>
        <v>1054.79</v>
      </c>
      <c r="AG24">
        <f ca="1">MIN(INDIRECT("f"&amp;ROW(AG24)-AH24):F24)</f>
        <v>831.77</v>
      </c>
      <c r="AH24">
        <f t="shared" si="5"/>
        <v>11</v>
      </c>
      <c r="AI24" s="14" t="str">
        <f t="shared" ca="1" si="6"/>
        <v/>
      </c>
      <c r="AJ24" s="14">
        <f t="shared" ca="1" si="7"/>
        <v>0</v>
      </c>
      <c r="AK24" s="181">
        <f>MAX(G$4:G24)</f>
        <v>1599.16</v>
      </c>
      <c r="AL24">
        <f ca="1">MIN(INDIRECT("g"&amp;ROW(AL24)-AM24):G24)</f>
        <v>1470.91</v>
      </c>
      <c r="AM24">
        <f t="shared" si="8"/>
        <v>2</v>
      </c>
      <c r="AN24" s="14" t="str">
        <f t="shared" ca="1" si="9"/>
        <v/>
      </c>
      <c r="AO24" s="14">
        <f t="shared" ca="1" si="10"/>
        <v>0</v>
      </c>
      <c r="AP24" s="193">
        <f t="shared" si="3"/>
        <v>0.34019437695244703</v>
      </c>
    </row>
    <row r="25" spans="1:42">
      <c r="A25" s="177">
        <v>39600</v>
      </c>
      <c r="B25" s="14">
        <v>0.14299999999999999</v>
      </c>
      <c r="C25" s="14">
        <v>9.8199999999999996E-2</v>
      </c>
      <c r="D25" s="14">
        <v>0.34320000000000001</v>
      </c>
      <c r="E25" s="14">
        <v>1.6999999999999999E-3</v>
      </c>
      <c r="F25" s="181">
        <v>848.67</v>
      </c>
      <c r="G25" s="181">
        <v>1556.66</v>
      </c>
      <c r="H25" s="181">
        <v>1811.93</v>
      </c>
      <c r="I25" s="181">
        <v>1005.3</v>
      </c>
      <c r="J25" s="14">
        <v>0.99709999999999999</v>
      </c>
      <c r="K25" s="14">
        <v>0.28820000000000001</v>
      </c>
      <c r="L25" s="14">
        <f t="shared" si="0"/>
        <v>-0.28820000000000001</v>
      </c>
      <c r="M25" s="14">
        <f t="shared" si="1"/>
        <v>1.2852999999999999</v>
      </c>
      <c r="N25" s="14">
        <f t="shared" si="2"/>
        <v>0.70889999999999997</v>
      </c>
      <c r="O25" s="14">
        <f>STDEV(B$5:B25)*SQRT(12)</f>
        <v>0.11368964772572741</v>
      </c>
      <c r="P25" s="14">
        <f>STDEV(C$5:C25)*SQRT(12)</f>
        <v>0.14311768384295293</v>
      </c>
      <c r="Q25" s="181">
        <f t="shared" si="4"/>
        <v>1925.97454679214</v>
      </c>
      <c r="R25" s="14">
        <f t="shared" si="11"/>
        <v>-0.19541330501806042</v>
      </c>
      <c r="S25" s="14">
        <f t="shared" si="12"/>
        <v>0.20452822012783023</v>
      </c>
      <c r="T25" s="14">
        <f t="shared" si="13"/>
        <v>0.39994152514589065</v>
      </c>
      <c r="U25" s="14">
        <f>AVERAGE($N$5:$N25)</f>
        <v>0.53477142857142868</v>
      </c>
      <c r="V25" s="14">
        <f t="shared" si="14"/>
        <v>-3.4027039640930526E-2</v>
      </c>
      <c r="W25" s="14">
        <f t="shared" si="15"/>
        <v>-0.1045014522863725</v>
      </c>
      <c r="X25" s="14">
        <f t="shared" si="16"/>
        <v>0.34305671205513327</v>
      </c>
      <c r="Y25" s="14">
        <f t="shared" si="17"/>
        <v>0.48158520398243632</v>
      </c>
      <c r="Z25" s="14">
        <f t="shared" si="18"/>
        <v>-7.0656322826254253E-2</v>
      </c>
      <c r="AA25" s="14">
        <f t="shared" si="19"/>
        <v>-0.21699473202707392</v>
      </c>
      <c r="AB25" s="14">
        <f t="shared" si="20"/>
        <v>0.7123489451466718</v>
      </c>
      <c r="AC25">
        <f t="shared" si="21"/>
        <v>1</v>
      </c>
      <c r="AD25" s="14">
        <f t="shared" si="22"/>
        <v>-0.19541330501806042</v>
      </c>
      <c r="AE25" s="14">
        <f t="shared" si="23"/>
        <v>0.20452822012783023</v>
      </c>
      <c r="AF25" s="181">
        <f>MAX(F$4:F25)</f>
        <v>1054.79</v>
      </c>
      <c r="AG25">
        <f ca="1">MIN(INDIRECT("f"&amp;ROW(AG25)-AH25):F25)</f>
        <v>831.77</v>
      </c>
      <c r="AH25">
        <f t="shared" si="5"/>
        <v>12</v>
      </c>
      <c r="AI25" s="14" t="str">
        <f t="shared" ca="1" si="6"/>
        <v/>
      </c>
      <c r="AJ25" s="14">
        <f t="shared" ca="1" si="7"/>
        <v>0</v>
      </c>
      <c r="AK25" s="181">
        <f>MAX(G$4:G25)</f>
        <v>1599.16</v>
      </c>
      <c r="AL25">
        <f ca="1">MIN(INDIRECT("g"&amp;ROW(AL25)-AM25):G25)</f>
        <v>1470.91</v>
      </c>
      <c r="AM25">
        <f t="shared" si="8"/>
        <v>3</v>
      </c>
      <c r="AN25" s="14" t="str">
        <f t="shared" ca="1" si="9"/>
        <v/>
      </c>
      <c r="AO25" s="14">
        <f t="shared" ca="1" si="10"/>
        <v>0</v>
      </c>
      <c r="AP25" s="193">
        <f t="shared" si="3"/>
        <v>0.34597501734906311</v>
      </c>
    </row>
    <row r="26" spans="1:42">
      <c r="A26" s="177">
        <v>39630</v>
      </c>
      <c r="B26" s="14">
        <v>9.0899999999999995E-2</v>
      </c>
      <c r="C26" s="14">
        <v>9.1999999999999998E-3</v>
      </c>
      <c r="D26" s="14">
        <v>9.98E-2</v>
      </c>
      <c r="E26" s="14">
        <v>1.6999999999999999E-3</v>
      </c>
      <c r="F26" s="181">
        <v>727.31</v>
      </c>
      <c r="G26" s="181">
        <v>1403.79</v>
      </c>
      <c r="H26" s="181">
        <v>2433.7800000000002</v>
      </c>
      <c r="I26" s="181">
        <v>1007.01</v>
      </c>
      <c r="J26" s="14">
        <v>1.1389</v>
      </c>
      <c r="K26" s="14">
        <v>0.49370000000000003</v>
      </c>
      <c r="L26" s="14">
        <f t="shared" si="0"/>
        <v>-0.49370000000000003</v>
      </c>
      <c r="M26" s="14">
        <f t="shared" si="1"/>
        <v>1.6326000000000001</v>
      </c>
      <c r="N26" s="14">
        <f t="shared" si="2"/>
        <v>0.6452</v>
      </c>
      <c r="O26" s="14">
        <f>STDEV(B$5:B26)*SQRT(12)</f>
        <v>0.11959993484774316</v>
      </c>
      <c r="P26" s="14">
        <f>STDEV(C$5:C26)*SQRT(12)</f>
        <v>0.14249158097709019</v>
      </c>
      <c r="Q26" s="181">
        <f t="shared" si="4"/>
        <v>2041.8208658506899</v>
      </c>
      <c r="R26" s="14">
        <f t="shared" si="11"/>
        <v>-0.28285905854976434</v>
      </c>
      <c r="S26" s="14">
        <f t="shared" si="12"/>
        <v>0.10738683874224941</v>
      </c>
      <c r="T26" s="14">
        <f t="shared" si="13"/>
        <v>0.39024589729201375</v>
      </c>
      <c r="U26" s="14">
        <f>AVERAGE($N$5:$N26)</f>
        <v>0.53979090909090921</v>
      </c>
      <c r="V26" s="14">
        <f t="shared" si="14"/>
        <v>-2.9815916217131942E-2</v>
      </c>
      <c r="W26" s="14">
        <f t="shared" si="15"/>
        <v>-0.152684748359176</v>
      </c>
      <c r="X26" s="14">
        <f t="shared" si="16"/>
        <v>0.28988750331855739</v>
      </c>
      <c r="Y26" s="14">
        <f t="shared" si="17"/>
        <v>0.47238816789486537</v>
      </c>
      <c r="Z26" s="14">
        <f t="shared" si="18"/>
        <v>-6.3117406919827354E-2</v>
      </c>
      <c r="AA26" s="14">
        <f t="shared" si="19"/>
        <v>-0.32321882455184081</v>
      </c>
      <c r="AB26" s="14">
        <f t="shared" si="20"/>
        <v>0.61366376852833182</v>
      </c>
      <c r="AC26">
        <f t="shared" si="21"/>
        <v>1</v>
      </c>
      <c r="AD26" s="14">
        <f t="shared" si="22"/>
        <v>-0.28285905854976434</v>
      </c>
      <c r="AE26" s="14">
        <f t="shared" si="23"/>
        <v>0.10738683874224941</v>
      </c>
      <c r="AF26" s="181">
        <f>MAX(F$4:F26)</f>
        <v>1054.79</v>
      </c>
      <c r="AG26">
        <f ca="1">MIN(INDIRECT("f"&amp;ROW(AG26)-AH26):F26)</f>
        <v>727.31</v>
      </c>
      <c r="AH26">
        <f t="shared" si="5"/>
        <v>13</v>
      </c>
      <c r="AI26" s="14">
        <f t="shared" ca="1" si="6"/>
        <v>-0.31046938253112</v>
      </c>
      <c r="AJ26" s="14">
        <f t="shared" ca="1" si="7"/>
        <v>-0.12558760234199362</v>
      </c>
      <c r="AK26" s="181">
        <f>MAX(G$4:G26)</f>
        <v>1599.16</v>
      </c>
      <c r="AL26">
        <f ca="1">MIN(INDIRECT("g"&amp;ROW(AL26)-AM26):G26)</f>
        <v>1403.79</v>
      </c>
      <c r="AM26">
        <f t="shared" si="8"/>
        <v>4</v>
      </c>
      <c r="AN26" s="14">
        <f t="shared" ca="1" si="9"/>
        <v>-0.12217038945446368</v>
      </c>
      <c r="AO26" s="14">
        <f t="shared" ca="1" si="10"/>
        <v>-4.5631615802462444E-2</v>
      </c>
      <c r="AP26" s="193">
        <f t="shared" si="3"/>
        <v>0.23068665181284179</v>
      </c>
    </row>
    <row r="27" spans="1:42">
      <c r="A27" s="177">
        <v>39661</v>
      </c>
      <c r="B27" s="14">
        <v>4.1500000000000002E-2</v>
      </c>
      <c r="C27" s="14">
        <v>8.1799999999999998E-2</v>
      </c>
      <c r="D27" s="14">
        <v>9.98E-2</v>
      </c>
      <c r="E27" s="14">
        <v>1.6999999999999999E-3</v>
      </c>
      <c r="F27" s="181">
        <v>793.42</v>
      </c>
      <c r="G27" s="181">
        <v>1416.71</v>
      </c>
      <c r="H27" s="181">
        <v>2190.89</v>
      </c>
      <c r="I27" s="181">
        <v>1008.72</v>
      </c>
      <c r="J27" s="14">
        <v>1.2531000000000001</v>
      </c>
      <c r="K27" s="14">
        <v>0.69989999999999997</v>
      </c>
      <c r="L27" s="14">
        <f t="shared" si="0"/>
        <v>-0.69989999999999997</v>
      </c>
      <c r="M27" s="14">
        <f t="shared" si="1"/>
        <v>1.9530000000000001</v>
      </c>
      <c r="N27" s="14">
        <f t="shared" si="2"/>
        <v>0.55320000000000014</v>
      </c>
      <c r="O27" s="14">
        <f>STDEV(B$5:B27)*SQRT(12)</f>
        <v>0.11700451394961212</v>
      </c>
      <c r="P27" s="14">
        <f>STDEV(C$5:C27)*SQRT(12)</f>
        <v>0.14163947329490079</v>
      </c>
      <c r="Q27" s="181">
        <f t="shared" si="4"/>
        <v>2051.4392744353422</v>
      </c>
      <c r="R27" s="14">
        <f t="shared" si="11"/>
        <v>-0.16005547262891573</v>
      </c>
      <c r="S27" s="14">
        <f t="shared" si="12"/>
        <v>-8.2672976227143868E-3</v>
      </c>
      <c r="T27" s="14">
        <f t="shared" si="13"/>
        <v>0.15178817500620134</v>
      </c>
      <c r="U27" s="14">
        <f>AVERAGE($N$5:$N27)</f>
        <v>0.54037391304347837</v>
      </c>
      <c r="V27" s="14">
        <f t="shared" si="14"/>
        <v>-2.0528854098056624E-3</v>
      </c>
      <c r="W27" s="14">
        <f t="shared" si="15"/>
        <v>-8.6489802048510547E-2</v>
      </c>
      <c r="X27" s="14">
        <f t="shared" si="16"/>
        <v>8.0275389835601826E-2</v>
      </c>
      <c r="Y27" s="14">
        <f t="shared" si="17"/>
        <v>0.16881807729391804</v>
      </c>
      <c r="Z27" s="14">
        <f t="shared" si="18"/>
        <v>-1.2160341135928938E-2</v>
      </c>
      <c r="AA27" s="14">
        <f t="shared" si="19"/>
        <v>-0.51232547743052925</v>
      </c>
      <c r="AB27" s="14">
        <f t="shared" si="20"/>
        <v>0.47551418143354179</v>
      </c>
      <c r="AC27">
        <f t="shared" si="21"/>
        <v>0.99999999999999989</v>
      </c>
      <c r="AD27" s="14">
        <f t="shared" si="22"/>
        <v>-0.16005547262891573</v>
      </c>
      <c r="AE27" s="14">
        <f t="shared" si="23"/>
        <v>-8.2672976227143868E-3</v>
      </c>
      <c r="AF27" s="181">
        <f>MAX(F$4:F27)</f>
        <v>1054.79</v>
      </c>
      <c r="AG27">
        <f ca="1">MIN(INDIRECT("f"&amp;ROW(AG27)-AH27):F27)</f>
        <v>727.31</v>
      </c>
      <c r="AH27">
        <f t="shared" si="5"/>
        <v>14</v>
      </c>
      <c r="AI27" s="14" t="str">
        <f t="shared" ca="1" si="6"/>
        <v/>
      </c>
      <c r="AJ27" s="14">
        <f t="shared" ca="1" si="7"/>
        <v>0</v>
      </c>
      <c r="AK27" s="181">
        <f>MAX(G$4:G27)</f>
        <v>1599.16</v>
      </c>
      <c r="AL27">
        <f ca="1">MIN(INDIRECT("g"&amp;ROW(AL27)-AM27):G27)</f>
        <v>1403.79</v>
      </c>
      <c r="AM27">
        <f t="shared" si="8"/>
        <v>5</v>
      </c>
      <c r="AN27" s="14" t="str">
        <f t="shared" ca="1" si="9"/>
        <v/>
      </c>
      <c r="AO27" s="14">
        <f t="shared" ca="1" si="10"/>
        <v>0</v>
      </c>
      <c r="AP27" s="193">
        <f t="shared" si="3"/>
        <v>0.17903986283754825</v>
      </c>
    </row>
    <row r="28" spans="1:42">
      <c r="A28" s="177">
        <v>39692</v>
      </c>
      <c r="B28" s="14">
        <v>1.1999999999999999E-3</v>
      </c>
      <c r="C28" s="14">
        <v>7.6700000000000004E-2</v>
      </c>
      <c r="D28" s="14">
        <v>0.90649999999999997</v>
      </c>
      <c r="E28" s="14">
        <v>1.6999999999999999E-3</v>
      </c>
      <c r="F28" s="181">
        <v>826.35</v>
      </c>
      <c r="G28" s="181">
        <v>1300.82</v>
      </c>
      <c r="H28" s="181">
        <v>1972.24</v>
      </c>
      <c r="I28" s="181">
        <v>1010.44</v>
      </c>
      <c r="J28" s="14">
        <v>1.0888</v>
      </c>
      <c r="K28" s="14">
        <v>0.82150000000000001</v>
      </c>
      <c r="L28" s="14">
        <f t="shared" si="0"/>
        <v>-0.82150000000000001</v>
      </c>
      <c r="M28" s="14">
        <f t="shared" si="1"/>
        <v>1.9102999999999999</v>
      </c>
      <c r="N28" s="14">
        <f t="shared" si="2"/>
        <v>0.26729999999999998</v>
      </c>
      <c r="O28" s="14">
        <f>STDEV(B$5:B28)*SQRT(12)</f>
        <v>0.11669570145952435</v>
      </c>
      <c r="P28" s="14">
        <f>STDEV(C$5:C28)*SQRT(12)</f>
        <v>0.14008285436468135</v>
      </c>
      <c r="Q28" s="181">
        <f t="shared" si="4"/>
        <v>2139.2829286513352</v>
      </c>
      <c r="R28" s="14">
        <f t="shared" si="11"/>
        <v>-0.14091901445056654</v>
      </c>
      <c r="S28" s="14">
        <f t="shared" si="12"/>
        <v>1.1107397417860376E-2</v>
      </c>
      <c r="T28" s="14">
        <f t="shared" si="13"/>
        <v>0.15202641186842691</v>
      </c>
      <c r="U28" s="14">
        <f>AVERAGE($N$5:$N28)</f>
        <v>0.52899583333333344</v>
      </c>
      <c r="V28" s="14">
        <f t="shared" si="14"/>
        <v>3.6877918919153069E-2</v>
      </c>
      <c r="W28" s="14">
        <f t="shared" si="15"/>
        <v>-7.4545571481789502E-2</v>
      </c>
      <c r="X28" s="14">
        <f t="shared" si="16"/>
        <v>4.877504998049681E-2</v>
      </c>
      <c r="Y28" s="14">
        <f t="shared" si="17"/>
        <v>0.16019854038143938</v>
      </c>
      <c r="Z28" s="14">
        <f t="shared" si="18"/>
        <v>0.23020134160614206</v>
      </c>
      <c r="AA28" s="14">
        <f t="shared" si="19"/>
        <v>-0.46533240130836023</v>
      </c>
      <c r="AB28" s="14">
        <f t="shared" si="20"/>
        <v>0.30446625708549774</v>
      </c>
      <c r="AC28">
        <f t="shared" si="21"/>
        <v>1</v>
      </c>
      <c r="AD28" s="14">
        <f t="shared" si="22"/>
        <v>-0.14091901445056654</v>
      </c>
      <c r="AE28" s="14">
        <f t="shared" si="23"/>
        <v>1.1107397417860376E-2</v>
      </c>
      <c r="AF28" s="181">
        <f>MAX(F$4:F28)</f>
        <v>1054.79</v>
      </c>
      <c r="AG28">
        <f ca="1">MIN(INDIRECT("f"&amp;ROW(AG28)-AH28):F28)</f>
        <v>727.31</v>
      </c>
      <c r="AH28">
        <f t="shared" si="5"/>
        <v>15</v>
      </c>
      <c r="AI28" s="14" t="str">
        <f t="shared" ca="1" si="6"/>
        <v/>
      </c>
      <c r="AJ28" s="14">
        <f t="shared" ca="1" si="7"/>
        <v>0</v>
      </c>
      <c r="AK28" s="181">
        <f>MAX(G$4:G28)</f>
        <v>1599.16</v>
      </c>
      <c r="AL28">
        <f ca="1">MIN(INDIRECT("g"&amp;ROW(AL28)-AM28):G28)</f>
        <v>1300.82</v>
      </c>
      <c r="AM28">
        <f t="shared" si="8"/>
        <v>6</v>
      </c>
      <c r="AN28" s="14">
        <f t="shared" ca="1" si="9"/>
        <v>-0.18656044423322249</v>
      </c>
      <c r="AO28" s="14">
        <f t="shared" ca="1" si="10"/>
        <v>-7.3351427207773212E-2</v>
      </c>
      <c r="AP28" s="193">
        <f t="shared" si="3"/>
        <v>0.13253804017041998</v>
      </c>
    </row>
    <row r="29" spans="1:42">
      <c r="A29" s="177">
        <v>39722</v>
      </c>
      <c r="B29" s="14">
        <v>0.13089999999999999</v>
      </c>
      <c r="C29" s="14">
        <v>9.9599999999999994E-2</v>
      </c>
      <c r="D29" s="14">
        <v>0.52039999999999997</v>
      </c>
      <c r="E29" s="14">
        <v>8.0000000000000004E-4</v>
      </c>
      <c r="F29" s="181">
        <v>825.35</v>
      </c>
      <c r="G29" s="181">
        <v>1201.05</v>
      </c>
      <c r="H29" s="181">
        <v>3760.08</v>
      </c>
      <c r="I29" s="181">
        <v>1012.16</v>
      </c>
      <c r="J29" s="14">
        <v>0.61460000000000004</v>
      </c>
      <c r="K29" s="14">
        <v>0.3261</v>
      </c>
      <c r="L29" s="14">
        <f t="shared" si="0"/>
        <v>-0.3261</v>
      </c>
      <c r="M29" s="14">
        <f t="shared" si="1"/>
        <v>0.94070000000000009</v>
      </c>
      <c r="N29" s="14">
        <f t="shared" si="2"/>
        <v>0.28850000000000003</v>
      </c>
      <c r="O29" s="14">
        <f>STDEV(B$5:B29)*SQRT(12)</f>
        <v>0.13314233286224181</v>
      </c>
      <c r="P29" s="14">
        <f>STDEV(C$5:C29)*SQRT(12)</f>
        <v>0.14163396485306765</v>
      </c>
      <c r="Q29" s="181">
        <f t="shared" si="4"/>
        <v>2313.7094202294761</v>
      </c>
      <c r="R29" s="14">
        <f t="shared" si="11"/>
        <v>-0.1591103594424973</v>
      </c>
      <c r="S29" s="14">
        <f t="shared" si="12"/>
        <v>-0.1284107402031931</v>
      </c>
      <c r="T29" s="14">
        <f t="shared" si="13"/>
        <v>3.0699619239304199E-2</v>
      </c>
      <c r="U29" s="14">
        <f>AVERAGE($N$5:$N29)</f>
        <v>0.51937600000000017</v>
      </c>
      <c r="V29" s="14">
        <f t="shared" si="14"/>
        <v>3.6734763346646028E-2</v>
      </c>
      <c r="W29" s="14">
        <f t="shared" si="15"/>
        <v>-8.2638102045806502E-2</v>
      </c>
      <c r="X29" s="14">
        <f t="shared" si="16"/>
        <v>-8.2507401504032629E-2</v>
      </c>
      <c r="Y29" s="14">
        <f t="shared" si="17"/>
        <v>0.20188026689648517</v>
      </c>
      <c r="Z29" s="14">
        <f t="shared" si="18"/>
        <v>0.18196312057325498</v>
      </c>
      <c r="AA29" s="14">
        <f t="shared" si="19"/>
        <v>-0.40934214777999817</v>
      </c>
      <c r="AB29" s="14">
        <f t="shared" si="20"/>
        <v>-0.4086947316467468</v>
      </c>
      <c r="AC29">
        <f t="shared" si="21"/>
        <v>1</v>
      </c>
      <c r="AD29" s="14">
        <f t="shared" si="22"/>
        <v>-0.1591103594424973</v>
      </c>
      <c r="AE29" s="14">
        <f t="shared" si="23"/>
        <v>-0.1284107402031931</v>
      </c>
      <c r="AF29" s="181">
        <f>MAX(F$4:F29)</f>
        <v>1054.79</v>
      </c>
      <c r="AG29">
        <f ca="1">MIN(INDIRECT("f"&amp;ROW(AG29)-AH29):F29)</f>
        <v>727.31</v>
      </c>
      <c r="AH29">
        <f t="shared" si="5"/>
        <v>16</v>
      </c>
      <c r="AI29" s="14" t="str">
        <f t="shared" ca="1" si="6"/>
        <v/>
      </c>
      <c r="AJ29" s="14">
        <f t="shared" ca="1" si="7"/>
        <v>0</v>
      </c>
      <c r="AK29" s="181">
        <f>MAX(G$4:G29)</f>
        <v>1599.16</v>
      </c>
      <c r="AL29">
        <f ca="1">MIN(INDIRECT("g"&amp;ROW(AL29)-AM29):G29)</f>
        <v>1201.05</v>
      </c>
      <c r="AM29">
        <f t="shared" si="8"/>
        <v>7</v>
      </c>
      <c r="AN29" s="14">
        <f t="shared" ca="1" si="9"/>
        <v>-0.24894944846044176</v>
      </c>
      <c r="AO29" s="14">
        <f t="shared" ca="1" si="10"/>
        <v>-7.6697775249457978E-2</v>
      </c>
      <c r="AP29" s="193">
        <f t="shared" si="3"/>
        <v>0.18846979454155169</v>
      </c>
    </row>
    <row r="30" spans="1:42">
      <c r="A30" s="177">
        <v>39753</v>
      </c>
      <c r="B30" s="14">
        <v>0.1027</v>
      </c>
      <c r="C30" s="14">
        <v>0.01</v>
      </c>
      <c r="D30" s="14">
        <v>7.6999999999999999E-2</v>
      </c>
      <c r="E30" s="14">
        <v>8.0000000000000004E-4</v>
      </c>
      <c r="F30" s="181">
        <v>717.31</v>
      </c>
      <c r="G30" s="181">
        <v>1081.42</v>
      </c>
      <c r="H30" s="181">
        <v>5716.83</v>
      </c>
      <c r="I30" s="181">
        <v>1012.97</v>
      </c>
      <c r="J30" s="14">
        <v>0.51300000000000001</v>
      </c>
      <c r="K30" s="14">
        <v>0.3175</v>
      </c>
      <c r="L30" s="14">
        <f t="shared" si="0"/>
        <v>-0.3175</v>
      </c>
      <c r="M30" s="14">
        <f t="shared" si="1"/>
        <v>0.83050000000000002</v>
      </c>
      <c r="N30" s="14">
        <f t="shared" si="2"/>
        <v>0.19550000000000001</v>
      </c>
      <c r="O30" s="14">
        <f>STDEV(B$5:B30)*SQRT(12)</f>
        <v>0.13806622691804327</v>
      </c>
      <c r="P30" s="14">
        <f>STDEV(C$5:C30)*SQRT(12)</f>
        <v>0.14147635540422132</v>
      </c>
      <c r="Q30" s="181">
        <f t="shared" si="4"/>
        <v>2591.1873952503743</v>
      </c>
      <c r="R30" s="14">
        <f t="shared" si="11"/>
        <v>-0.2733967443603692</v>
      </c>
      <c r="S30" s="14">
        <f t="shared" si="12"/>
        <v>-0.26415993032307228</v>
      </c>
      <c r="T30" s="14">
        <f t="shared" si="13"/>
        <v>9.2368140372969254E-3</v>
      </c>
      <c r="U30" s="14">
        <f>AVERAGE($N$5:$N30)</f>
        <v>0.50691923076923096</v>
      </c>
      <c r="V30" s="14">
        <f t="shared" si="14"/>
        <v>8.514100382351826E-2</v>
      </c>
      <c r="W30" s="14">
        <f t="shared" si="15"/>
        <v>-0.13859006734597043</v>
      </c>
      <c r="X30" s="14">
        <f t="shared" si="16"/>
        <v>-0.21071086680062012</v>
      </c>
      <c r="Y30" s="14">
        <f t="shared" si="17"/>
        <v>0.43444193797010883</v>
      </c>
      <c r="Z30" s="14">
        <f t="shared" si="18"/>
        <v>0.19597786581408783</v>
      </c>
      <c r="AA30" s="14">
        <f t="shared" si="19"/>
        <v>-0.31900711057850478</v>
      </c>
      <c r="AB30" s="14">
        <f t="shared" si="20"/>
        <v>-0.48501502360740734</v>
      </c>
      <c r="AC30">
        <f t="shared" si="21"/>
        <v>1</v>
      </c>
      <c r="AD30" s="14">
        <f t="shared" si="22"/>
        <v>-0.2733967443603692</v>
      </c>
      <c r="AE30" s="14">
        <f t="shared" si="23"/>
        <v>-0.26415993032307228</v>
      </c>
      <c r="AF30" s="181">
        <f>MAX(F$4:F30)</f>
        <v>1054.79</v>
      </c>
      <c r="AG30">
        <f ca="1">MIN(INDIRECT("f"&amp;ROW(AG30)-AH30):F30)</f>
        <v>717.31</v>
      </c>
      <c r="AH30">
        <f t="shared" si="5"/>
        <v>17</v>
      </c>
      <c r="AI30" s="14">
        <f t="shared" ca="1" si="6"/>
        <v>-0.31994994264261134</v>
      </c>
      <c r="AJ30" s="14">
        <f t="shared" ca="1" si="7"/>
        <v>-1.3749295348613355E-2</v>
      </c>
      <c r="AK30" s="181">
        <f>MAX(G$4:G30)</f>
        <v>1599.16</v>
      </c>
      <c r="AL30">
        <f ca="1">MIN(INDIRECT("g"&amp;ROW(AL30)-AM30):G30)</f>
        <v>1081.42</v>
      </c>
      <c r="AM30">
        <f t="shared" si="8"/>
        <v>8</v>
      </c>
      <c r="AN30" s="14">
        <f t="shared" ca="1" si="9"/>
        <v>-0.32375747267315336</v>
      </c>
      <c r="AO30" s="14">
        <f t="shared" ca="1" si="10"/>
        <v>-9.9604512718038274E-2</v>
      </c>
      <c r="AP30" s="193">
        <f t="shared" si="3"/>
        <v>0.16157480314960632</v>
      </c>
    </row>
    <row r="31" spans="1:42">
      <c r="A31" s="177">
        <v>39783</v>
      </c>
      <c r="B31" s="14">
        <v>6.0000000000000001E-3</v>
      </c>
      <c r="C31" s="14">
        <v>9.4999999999999998E-3</v>
      </c>
      <c r="D31" s="14">
        <v>0.27639999999999998</v>
      </c>
      <c r="E31" s="14">
        <v>8.0000000000000004E-4</v>
      </c>
      <c r="F31" s="181">
        <v>643.65</v>
      </c>
      <c r="G31" s="181">
        <v>1092.24</v>
      </c>
      <c r="H31" s="181">
        <v>5276.63</v>
      </c>
      <c r="I31" s="181">
        <v>1013.78</v>
      </c>
      <c r="J31" s="14">
        <v>0.54710000000000003</v>
      </c>
      <c r="K31" s="14">
        <v>0.4415</v>
      </c>
      <c r="L31" s="14">
        <f t="shared" si="0"/>
        <v>-0.4415</v>
      </c>
      <c r="M31" s="14">
        <f t="shared" si="1"/>
        <v>0.98860000000000003</v>
      </c>
      <c r="N31" s="14">
        <f t="shared" si="2"/>
        <v>0.10560000000000003</v>
      </c>
      <c r="O31" s="14">
        <f>STDEV(B$5:B31)*SQRT(12)</f>
        <v>0.13712939176365538</v>
      </c>
      <c r="P31" s="14">
        <f>STDEV(C$5:C31)*SQRT(12)</f>
        <v>0.14120136194592675</v>
      </c>
      <c r="Q31" s="181">
        <f t="shared" si="4"/>
        <v>2617.3980709053444</v>
      </c>
      <c r="R31" s="14">
        <f t="shared" si="11"/>
        <v>-0.32422358944207641</v>
      </c>
      <c r="S31" s="14">
        <f t="shared" si="12"/>
        <v>-0.30084558611728107</v>
      </c>
      <c r="T31" s="14">
        <f t="shared" si="13"/>
        <v>2.3378003324795338E-2</v>
      </c>
      <c r="U31" s="14">
        <f>AVERAGE($N$5:$N31)</f>
        <v>0.49205555555555569</v>
      </c>
      <c r="V31" s="14">
        <f t="shared" si="14"/>
        <v>0.12529800738205404</v>
      </c>
      <c r="W31" s="14">
        <f t="shared" si="15"/>
        <v>-0.1595360184271373</v>
      </c>
      <c r="X31" s="14">
        <f t="shared" si="16"/>
        <v>-0.26660757507219779</v>
      </c>
      <c r="Y31" s="14">
        <f t="shared" si="17"/>
        <v>0.55144160088138916</v>
      </c>
      <c r="Z31" s="14">
        <f t="shared" si="18"/>
        <v>0.22721899686528127</v>
      </c>
      <c r="AA31" s="14">
        <f t="shared" si="19"/>
        <v>-0.28930718714755121</v>
      </c>
      <c r="AB31" s="14">
        <f t="shared" si="20"/>
        <v>-0.48347381598716749</v>
      </c>
      <c r="AC31">
        <f t="shared" si="21"/>
        <v>0.99999999999999989</v>
      </c>
      <c r="AD31" s="14">
        <f t="shared" si="22"/>
        <v>-0.32422358944207641</v>
      </c>
      <c r="AE31" s="14">
        <f t="shared" si="23"/>
        <v>-0.30084558611728107</v>
      </c>
      <c r="AF31" s="181">
        <f>MAX(F$4:F31)</f>
        <v>1054.79</v>
      </c>
      <c r="AG31">
        <f ca="1">MIN(INDIRECT("f"&amp;ROW(AG31)-AH31):F31)</f>
        <v>643.65</v>
      </c>
      <c r="AH31">
        <f t="shared" si="5"/>
        <v>18</v>
      </c>
      <c r="AI31" s="14">
        <f t="shared" ca="1" si="6"/>
        <v>-0.38978374842385688</v>
      </c>
      <c r="AJ31" s="14">
        <f t="shared" ca="1" si="7"/>
        <v>-0.10268921386848084</v>
      </c>
      <c r="AK31" s="181">
        <f>MAX(G$4:G31)</f>
        <v>1599.16</v>
      </c>
      <c r="AL31">
        <f ca="1">MIN(INDIRECT("g"&amp;ROW(AL31)-AM31):G31)</f>
        <v>1081.42</v>
      </c>
      <c r="AM31">
        <f t="shared" si="8"/>
        <v>9</v>
      </c>
      <c r="AN31" s="14" t="str">
        <f t="shared" ca="1" si="9"/>
        <v/>
      </c>
      <c r="AO31" s="14">
        <f t="shared" ca="1" si="10"/>
        <v>0</v>
      </c>
      <c r="AP31" s="193">
        <f t="shared" si="3"/>
        <v>0.1239184597961495</v>
      </c>
    </row>
    <row r="32" spans="1:42">
      <c r="A32" s="177">
        <v>39814</v>
      </c>
      <c r="B32" s="14">
        <v>0.20580000000000001</v>
      </c>
      <c r="C32" s="14">
        <v>7.6200000000000004E-2</v>
      </c>
      <c r="D32" s="14">
        <v>0.121</v>
      </c>
      <c r="E32" s="14">
        <v>8.0000000000000004E-4</v>
      </c>
      <c r="F32" s="181">
        <v>639.78</v>
      </c>
      <c r="G32" s="181">
        <v>1081.8599999999999</v>
      </c>
      <c r="H32" s="181">
        <v>3818.17</v>
      </c>
      <c r="I32" s="181">
        <v>1014.59</v>
      </c>
      <c r="J32" s="14">
        <v>0.39910000000000001</v>
      </c>
      <c r="K32" s="14">
        <v>0.35909999999999997</v>
      </c>
      <c r="L32" s="14">
        <f t="shared" si="0"/>
        <v>-0.35909999999999997</v>
      </c>
      <c r="M32" s="14">
        <f t="shared" si="1"/>
        <v>0.75819999999999999</v>
      </c>
      <c r="N32" s="14">
        <f t="shared" si="2"/>
        <v>4.0000000000000036E-2</v>
      </c>
      <c r="O32" s="14">
        <f>STDEV(B$5:B32)*SQRT(12)</f>
        <v>0.17392042834821159</v>
      </c>
      <c r="P32" s="14">
        <f>STDEV(C$5:C32)*SQRT(12)</f>
        <v>0.13982988474094749</v>
      </c>
      <c r="Q32" s="181">
        <f t="shared" si="4"/>
        <v>2650.1932195120453</v>
      </c>
      <c r="R32" s="14">
        <f t="shared" si="11"/>
        <v>-0.31028460543337655</v>
      </c>
      <c r="S32" s="14">
        <f t="shared" si="12"/>
        <v>-0.31986722492550268</v>
      </c>
      <c r="T32" s="14">
        <f t="shared" si="13"/>
        <v>-9.5826194921261321E-3</v>
      </c>
      <c r="U32" s="14">
        <f>AVERAGE($N$5:$N32)</f>
        <v>0.47591071428571446</v>
      </c>
      <c r="V32" s="14">
        <f t="shared" si="14"/>
        <v>0.13525638398632425</v>
      </c>
      <c r="W32" s="14">
        <f t="shared" si="15"/>
        <v>-0.14766776820365932</v>
      </c>
      <c r="X32" s="14">
        <f t="shared" si="16"/>
        <v>-0.30745584070816762</v>
      </c>
      <c r="Y32" s="14">
        <f t="shared" si="17"/>
        <v>0.59037999289815124</v>
      </c>
      <c r="Z32" s="14">
        <f t="shared" si="18"/>
        <v>0.22910055491947853</v>
      </c>
      <c r="AA32" s="14">
        <f t="shared" si="19"/>
        <v>-0.250123259561633</v>
      </c>
      <c r="AB32" s="14">
        <f t="shared" si="20"/>
        <v>-0.52077618551888838</v>
      </c>
      <c r="AC32">
        <f t="shared" si="21"/>
        <v>0.99999999999999989</v>
      </c>
      <c r="AD32" s="14">
        <f t="shared" si="22"/>
        <v>-0.31028460543337655</v>
      </c>
      <c r="AE32" s="14">
        <f t="shared" si="23"/>
        <v>-0.31986722492550268</v>
      </c>
      <c r="AF32" s="181">
        <f>MAX(F$4:F32)</f>
        <v>1054.79</v>
      </c>
      <c r="AG32">
        <f ca="1">MIN(INDIRECT("f"&amp;ROW(AG32)-AH32):F32)</f>
        <v>639.78</v>
      </c>
      <c r="AH32">
        <f t="shared" si="5"/>
        <v>19</v>
      </c>
      <c r="AI32" s="14">
        <f t="shared" ca="1" si="6"/>
        <v>-0.39345272518700403</v>
      </c>
      <c r="AJ32" s="14">
        <f t="shared" ca="1" si="7"/>
        <v>-6.0125844791424354E-3</v>
      </c>
      <c r="AK32" s="181">
        <f>MAX(G$4:G32)</f>
        <v>1599.16</v>
      </c>
      <c r="AL32">
        <f ca="1">MIN(INDIRECT("g"&amp;ROW(AL32)-AM32):G32)</f>
        <v>1081.42</v>
      </c>
      <c r="AM32">
        <f t="shared" si="8"/>
        <v>10</v>
      </c>
      <c r="AN32" s="14" t="str">
        <f t="shared" ca="1" si="9"/>
        <v/>
      </c>
      <c r="AO32" s="14">
        <f t="shared" ca="1" si="10"/>
        <v>0</v>
      </c>
      <c r="AP32" s="193">
        <f t="shared" si="3"/>
        <v>0.11113895850737958</v>
      </c>
    </row>
    <row r="33" spans="1:42">
      <c r="A33" s="177">
        <v>39845</v>
      </c>
      <c r="B33" s="14">
        <v>8.7300000000000003E-2</v>
      </c>
      <c r="C33" s="14">
        <v>3.1E-2</v>
      </c>
      <c r="D33" s="14">
        <v>3.3700000000000001E-2</v>
      </c>
      <c r="E33" s="14">
        <v>8.0000000000000004E-4</v>
      </c>
      <c r="F33" s="181">
        <v>508.11</v>
      </c>
      <c r="G33" s="181">
        <v>1164.3</v>
      </c>
      <c r="H33" s="181">
        <v>4280.17</v>
      </c>
      <c r="I33" s="181">
        <v>1015.4</v>
      </c>
      <c r="J33" s="14">
        <v>0.48959999999999998</v>
      </c>
      <c r="K33" s="14">
        <v>0.55089999999999995</v>
      </c>
      <c r="L33" s="14">
        <f t="shared" si="0"/>
        <v>-0.55089999999999995</v>
      </c>
      <c r="M33" s="14">
        <f t="shared" si="1"/>
        <v>1.0405</v>
      </c>
      <c r="N33" s="14">
        <f t="shared" si="2"/>
        <v>-6.1299999999999966E-2</v>
      </c>
      <c r="O33" s="14">
        <f>STDEV(B$5:B33)*SQRT(12)</f>
        <v>0.17309455857102082</v>
      </c>
      <c r="P33" s="14">
        <f>STDEV(C$5:C33)*SQRT(12)</f>
        <v>0.13777221509154713</v>
      </c>
      <c r="Q33" s="181">
        <f t="shared" si="4"/>
        <v>2844.2775283316687</v>
      </c>
      <c r="R33" s="14">
        <f t="shared" si="11"/>
        <v>-0.44315491846396637</v>
      </c>
      <c r="S33" s="14">
        <f t="shared" si="12"/>
        <v>-0.26071966017105741</v>
      </c>
      <c r="T33" s="14">
        <f t="shared" si="13"/>
        <v>0.18243525829290896</v>
      </c>
      <c r="U33" s="14">
        <f>AVERAGE($N$5:$N33)</f>
        <v>0.45738620689655191</v>
      </c>
      <c r="V33" s="14">
        <f t="shared" si="14"/>
        <v>0.22985834372562544</v>
      </c>
      <c r="W33" s="14">
        <f t="shared" si="15"/>
        <v>-0.20269294722378431</v>
      </c>
      <c r="X33" s="14">
        <f t="shared" si="16"/>
        <v>-0.28788505667289854</v>
      </c>
      <c r="Y33" s="14">
        <f t="shared" si="17"/>
        <v>0.72043634762230835</v>
      </c>
      <c r="Z33" s="14">
        <f t="shared" si="18"/>
        <v>0.31905434044831066</v>
      </c>
      <c r="AA33" s="14">
        <f t="shared" si="19"/>
        <v>-0.28134747489176781</v>
      </c>
      <c r="AB33" s="14">
        <f t="shared" si="20"/>
        <v>-0.39959818465992147</v>
      </c>
      <c r="AC33">
        <f t="shared" si="21"/>
        <v>1</v>
      </c>
      <c r="AD33" s="14">
        <f t="shared" si="22"/>
        <v>-0.44315491846396637</v>
      </c>
      <c r="AE33" s="14">
        <f t="shared" si="23"/>
        <v>-0.26071966017105741</v>
      </c>
      <c r="AF33" s="181">
        <f>MAX(F$4:F33)</f>
        <v>1054.79</v>
      </c>
      <c r="AG33">
        <f ca="1">MIN(INDIRECT("f"&amp;ROW(AG33)-AH33):F33)</f>
        <v>508.11</v>
      </c>
      <c r="AH33">
        <f t="shared" si="5"/>
        <v>20</v>
      </c>
      <c r="AI33" s="14">
        <f t="shared" ca="1" si="6"/>
        <v>-0.51828326017501114</v>
      </c>
      <c r="AJ33" s="14">
        <f t="shared" ca="1" si="7"/>
        <v>-0.2058051205101753</v>
      </c>
      <c r="AK33" s="181">
        <f>MAX(G$4:G33)</f>
        <v>1599.16</v>
      </c>
      <c r="AL33">
        <f ca="1">MIN(INDIRECT("g"&amp;ROW(AL33)-AM33):G33)</f>
        <v>1081.42</v>
      </c>
      <c r="AM33">
        <f t="shared" si="8"/>
        <v>11</v>
      </c>
      <c r="AN33" s="14" t="str">
        <f t="shared" ca="1" si="9"/>
        <v/>
      </c>
      <c r="AO33" s="14">
        <f t="shared" ca="1" si="10"/>
        <v>0</v>
      </c>
      <c r="AP33" s="193">
        <f t="shared" si="3"/>
        <v>8.8872753675803245E-2</v>
      </c>
    </row>
    <row r="34" spans="1:42">
      <c r="A34" s="177">
        <v>39873</v>
      </c>
      <c r="B34" s="14">
        <v>0.12870000000000001</v>
      </c>
      <c r="C34" s="14">
        <v>3.7499999999999999E-2</v>
      </c>
      <c r="D34" s="14">
        <v>4.7699999999999999E-2</v>
      </c>
      <c r="E34" s="14">
        <v>8.0000000000000004E-4</v>
      </c>
      <c r="F34" s="181">
        <v>463.76</v>
      </c>
      <c r="G34" s="181">
        <v>1200.3900000000001</v>
      </c>
      <c r="H34" s="181">
        <v>4424.41</v>
      </c>
      <c r="I34" s="181">
        <v>1016.21</v>
      </c>
      <c r="J34" s="14">
        <v>0.49059999999999998</v>
      </c>
      <c r="K34" s="14">
        <v>0.4572</v>
      </c>
      <c r="L34" s="14">
        <f t="shared" si="0"/>
        <v>-0.4572</v>
      </c>
      <c r="M34" s="14">
        <f t="shared" si="1"/>
        <v>0.94779999999999998</v>
      </c>
      <c r="N34" s="14">
        <f t="shared" si="2"/>
        <v>3.3399999999999985E-2</v>
      </c>
      <c r="O34" s="14">
        <f>STDEV(B$5:B34)*SQRT(12)</f>
        <v>0.17812893005948788</v>
      </c>
      <c r="P34" s="14">
        <f>STDEV(C$5:C34)*SQRT(12)</f>
        <v>0.13553632723369774</v>
      </c>
      <c r="Q34" s="181">
        <f t="shared" si="4"/>
        <v>2937.3062299335697</v>
      </c>
      <c r="R34" s="14">
        <f t="shared" si="11"/>
        <v>-0.44617736272659969</v>
      </c>
      <c r="S34" s="14">
        <f t="shared" si="12"/>
        <v>-0.24936216513669673</v>
      </c>
      <c r="T34" s="14">
        <f t="shared" si="13"/>
        <v>0.19681519758990296</v>
      </c>
      <c r="U34" s="14">
        <f>AVERAGE($N$5:$N34)</f>
        <v>0.44325333333333355</v>
      </c>
      <c r="V34" s="14">
        <f t="shared" si="14"/>
        <v>0.18286727937137273</v>
      </c>
      <c r="W34" s="14">
        <f t="shared" si="15"/>
        <v>-0.19776960328644116</v>
      </c>
      <c r="X34" s="14">
        <f t="shared" si="16"/>
        <v>-0.2344598412216283</v>
      </c>
      <c r="Y34" s="14">
        <f t="shared" si="17"/>
        <v>0.61509672387944225</v>
      </c>
      <c r="Z34" s="14">
        <f t="shared" si="18"/>
        <v>0.29729841222047276</v>
      </c>
      <c r="AA34" s="14">
        <f t="shared" si="19"/>
        <v>-0.32152602283279857</v>
      </c>
      <c r="AB34" s="14">
        <f t="shared" si="20"/>
        <v>-0.38117556494672855</v>
      </c>
      <c r="AC34">
        <f t="shared" si="21"/>
        <v>0.99999999999999978</v>
      </c>
      <c r="AD34" s="14">
        <f t="shared" si="22"/>
        <v>-0.44617736272659969</v>
      </c>
      <c r="AE34" s="14">
        <f t="shared" si="23"/>
        <v>-0.24936216513669673</v>
      </c>
      <c r="AF34" s="181">
        <f>MAX(F$4:F34)</f>
        <v>1054.79</v>
      </c>
      <c r="AG34">
        <f ca="1">MIN(INDIRECT("f"&amp;ROW(AG34)-AH34):F34)</f>
        <v>463.76</v>
      </c>
      <c r="AH34">
        <f t="shared" si="5"/>
        <v>21</v>
      </c>
      <c r="AI34" s="14">
        <f t="shared" ca="1" si="6"/>
        <v>-0.56032954426947545</v>
      </c>
      <c r="AJ34" s="14">
        <f t="shared" ca="1" si="7"/>
        <v>-8.7284249473539188E-2</v>
      </c>
      <c r="AK34" s="181">
        <f>MAX(G$4:G34)</f>
        <v>1599.16</v>
      </c>
      <c r="AL34">
        <f ca="1">MIN(INDIRECT("g"&amp;ROW(AL34)-AM34):G34)</f>
        <v>1081.42</v>
      </c>
      <c r="AM34">
        <f t="shared" si="8"/>
        <v>12</v>
      </c>
      <c r="AN34" s="14" t="str">
        <f t="shared" ca="1" si="9"/>
        <v/>
      </c>
      <c r="AO34" s="14">
        <f t="shared" ca="1" si="10"/>
        <v>0</v>
      </c>
      <c r="AP34" s="193">
        <f t="shared" si="3"/>
        <v>0.10730533683289589</v>
      </c>
    </row>
    <row r="35" spans="1:42">
      <c r="A35" s="177">
        <v>39904</v>
      </c>
      <c r="B35" s="14">
        <v>6.54E-2</v>
      </c>
      <c r="C35" s="14">
        <v>2.5999999999999999E-2</v>
      </c>
      <c r="D35" s="14">
        <v>0.1731</v>
      </c>
      <c r="E35" s="14">
        <v>8.0000000000000004E-4</v>
      </c>
      <c r="F35" s="181">
        <v>523.44000000000005</v>
      </c>
      <c r="G35" s="181">
        <v>1155.3800000000001</v>
      </c>
      <c r="H35" s="181">
        <v>4213.37</v>
      </c>
      <c r="I35" s="181">
        <v>1017.03</v>
      </c>
      <c r="J35" s="14">
        <v>0.45860000000000001</v>
      </c>
      <c r="K35" s="14">
        <v>0.51370000000000005</v>
      </c>
      <c r="L35" s="14">
        <f t="shared" si="0"/>
        <v>-0.51370000000000005</v>
      </c>
      <c r="M35" s="14">
        <f t="shared" si="1"/>
        <v>0.97230000000000005</v>
      </c>
      <c r="N35" s="14">
        <f t="shared" si="2"/>
        <v>-5.5100000000000038E-2</v>
      </c>
      <c r="O35" s="14">
        <f>STDEV(B$5:B35)*SQRT(12)</f>
        <v>0.17547681769506507</v>
      </c>
      <c r="P35" s="14">
        <f>STDEV(C$5:C35)*SQRT(12)</f>
        <v>0.13393251165202327</v>
      </c>
      <c r="Q35" s="181">
        <f t="shared" si="4"/>
        <v>3050.5932644111062</v>
      </c>
      <c r="R35" s="14">
        <f t="shared" si="11"/>
        <v>-0.37069141709847664</v>
      </c>
      <c r="S35" s="14">
        <f t="shared" si="12"/>
        <v>-0.21451346445397745</v>
      </c>
      <c r="T35" s="14">
        <f t="shared" si="13"/>
        <v>0.15617795264449919</v>
      </c>
      <c r="U35" s="14">
        <f>AVERAGE($N$5:$N35)</f>
        <v>0.42717741935483894</v>
      </c>
      <c r="V35" s="14">
        <f t="shared" si="14"/>
        <v>0.17877610001524155</v>
      </c>
      <c r="W35" s="14">
        <f t="shared" si="15"/>
        <v>-0.15835100293311546</v>
      </c>
      <c r="X35" s="14">
        <f t="shared" si="16"/>
        <v>-0.23493856153610354</v>
      </c>
      <c r="Y35" s="14">
        <f t="shared" si="17"/>
        <v>0.57206566448446061</v>
      </c>
      <c r="Z35" s="14">
        <f t="shared" si="18"/>
        <v>0.31250975388699936</v>
      </c>
      <c r="AA35" s="14">
        <f t="shared" si="19"/>
        <v>-0.27680564096749222</v>
      </c>
      <c r="AB35" s="14">
        <f t="shared" si="20"/>
        <v>-0.41068460514550831</v>
      </c>
      <c r="AC35">
        <f t="shared" si="21"/>
        <v>1</v>
      </c>
      <c r="AD35" s="14">
        <f t="shared" si="22"/>
        <v>-0.37069141709847664</v>
      </c>
      <c r="AE35" s="14">
        <f t="shared" si="23"/>
        <v>-0.21451346445397745</v>
      </c>
      <c r="AF35" s="181">
        <f>MAX(F$4:F35)</f>
        <v>1054.79</v>
      </c>
      <c r="AG35">
        <f ca="1">MIN(INDIRECT("f"&amp;ROW(AG35)-AH35):F35)</f>
        <v>463.76</v>
      </c>
      <c r="AH35">
        <f t="shared" si="5"/>
        <v>22</v>
      </c>
      <c r="AI35" s="14" t="str">
        <f t="shared" ca="1" si="6"/>
        <v/>
      </c>
      <c r="AJ35" s="14">
        <f t="shared" ca="1" si="7"/>
        <v>0</v>
      </c>
      <c r="AK35" s="181">
        <f>MAX(G$4:G35)</f>
        <v>1599.16</v>
      </c>
      <c r="AL35">
        <f ca="1">MIN(INDIRECT("g"&amp;ROW(AL35)-AM35):G35)</f>
        <v>1081.42</v>
      </c>
      <c r="AM35">
        <f t="shared" si="8"/>
        <v>13</v>
      </c>
      <c r="AN35" s="14" t="str">
        <f t="shared" ca="1" si="9"/>
        <v/>
      </c>
      <c r="AO35" s="14">
        <f t="shared" ca="1" si="10"/>
        <v>0</v>
      </c>
      <c r="AP35" s="193">
        <f t="shared" si="3"/>
        <v>8.9273895269612616E-2</v>
      </c>
    </row>
    <row r="36" spans="1:42">
      <c r="A36" s="177">
        <v>39934</v>
      </c>
      <c r="B36" s="14">
        <v>5.4600000000000003E-2</v>
      </c>
      <c r="C36" s="14">
        <v>7.9799999999999996E-2</v>
      </c>
      <c r="D36" s="14">
        <v>0.2077</v>
      </c>
      <c r="E36" s="14">
        <v>8.0000000000000004E-4</v>
      </c>
      <c r="F36" s="181">
        <v>557.67999999999995</v>
      </c>
      <c r="G36" s="181">
        <v>1185.42</v>
      </c>
      <c r="H36" s="181">
        <v>3484.03</v>
      </c>
      <c r="I36" s="181">
        <v>1017.84</v>
      </c>
      <c r="J36" s="14">
        <v>0.76060000000000005</v>
      </c>
      <c r="K36" s="14">
        <v>0.50980000000000003</v>
      </c>
      <c r="L36" s="14">
        <f t="shared" si="0"/>
        <v>-0.50980000000000003</v>
      </c>
      <c r="M36" s="14">
        <f t="shared" si="1"/>
        <v>1.2704</v>
      </c>
      <c r="N36" s="14">
        <f t="shared" si="2"/>
        <v>0.25080000000000002</v>
      </c>
      <c r="O36" s="14">
        <f>STDEV(B$5:B36)*SQRT(12)</f>
        <v>0.17266548548865307</v>
      </c>
      <c r="P36" s="14">
        <f>STDEV(C$5:C36)*SQRT(12)</f>
        <v>0.13328817010643734</v>
      </c>
      <c r="Q36" s="181">
        <f t="shared" si="4"/>
        <v>3113.0266907923155</v>
      </c>
      <c r="R36" s="14">
        <f t="shared" si="11"/>
        <v>-0.35075730235048963</v>
      </c>
      <c r="S36" s="14">
        <f t="shared" si="12"/>
        <v>-0.23421985930141664</v>
      </c>
      <c r="T36" s="14">
        <f t="shared" si="13"/>
        <v>0.11653744304907299</v>
      </c>
      <c r="U36" s="14">
        <f>AVERAGE($N$5:$N36)</f>
        <v>0.42166562500000021</v>
      </c>
      <c r="V36" s="14">
        <f t="shared" si="14"/>
        <v>5.9932365689430445E-2</v>
      </c>
      <c r="W36" s="14">
        <f t="shared" si="15"/>
        <v>-0.14790229711893324</v>
      </c>
      <c r="X36" s="14">
        <f t="shared" si="16"/>
        <v>-0.14624992787191385</v>
      </c>
      <c r="Y36" s="14">
        <f t="shared" si="17"/>
        <v>0.35408459068027753</v>
      </c>
      <c r="Z36" s="14">
        <f t="shared" si="18"/>
        <v>0.16926002222883141</v>
      </c>
      <c r="AA36" s="14">
        <f t="shared" si="19"/>
        <v>-0.41770328619717417</v>
      </c>
      <c r="AB36" s="14">
        <f t="shared" si="20"/>
        <v>-0.41303669157399442</v>
      </c>
      <c r="AC36">
        <f t="shared" si="21"/>
        <v>1</v>
      </c>
      <c r="AD36" s="14">
        <f t="shared" si="22"/>
        <v>-0.35075730235048963</v>
      </c>
      <c r="AE36" s="14">
        <f t="shared" si="23"/>
        <v>-0.23421985930141664</v>
      </c>
      <c r="AF36" s="181">
        <f>MAX(F$4:F36)</f>
        <v>1054.79</v>
      </c>
      <c r="AG36">
        <f ca="1">MIN(INDIRECT("f"&amp;ROW(AG36)-AH36):F36)</f>
        <v>463.76</v>
      </c>
      <c r="AH36">
        <f t="shared" si="5"/>
        <v>23</v>
      </c>
      <c r="AI36" s="14" t="str">
        <f t="shared" ca="1" si="6"/>
        <v/>
      </c>
      <c r="AJ36" s="14">
        <f t="shared" ca="1" si="7"/>
        <v>0</v>
      </c>
      <c r="AK36" s="181">
        <f>MAX(G$4:G36)</f>
        <v>1599.16</v>
      </c>
      <c r="AL36">
        <f ca="1">MIN(INDIRECT("g"&amp;ROW(AL36)-AM36):G36)</f>
        <v>1081.42</v>
      </c>
      <c r="AM36">
        <f t="shared" si="8"/>
        <v>14</v>
      </c>
      <c r="AN36" s="14" t="str">
        <f t="shared" ca="1" si="9"/>
        <v/>
      </c>
      <c r="AO36" s="14">
        <f t="shared" ca="1" si="10"/>
        <v>0</v>
      </c>
      <c r="AP36" s="193">
        <f t="shared" si="3"/>
        <v>0.1491957630443311</v>
      </c>
    </row>
    <row r="37" spans="1:42">
      <c r="A37" s="177">
        <v>39965</v>
      </c>
      <c r="B37" s="14">
        <v>1.8200000000000001E-2</v>
      </c>
      <c r="C37" s="14">
        <v>5.0799999999999998E-2</v>
      </c>
      <c r="D37" s="14">
        <v>8.8900000000000007E-2</v>
      </c>
      <c r="E37" s="14">
        <v>8.0000000000000004E-4</v>
      </c>
      <c r="F37" s="181">
        <v>588.12</v>
      </c>
      <c r="G37" s="181">
        <v>1280.01</v>
      </c>
      <c r="H37" s="181">
        <v>2760.4</v>
      </c>
      <c r="I37" s="181">
        <v>1018.65</v>
      </c>
      <c r="J37" s="14">
        <v>0.86350000000000005</v>
      </c>
      <c r="K37" s="14">
        <v>0.57199999999999995</v>
      </c>
      <c r="L37" s="14">
        <f t="shared" si="0"/>
        <v>-0.57199999999999995</v>
      </c>
      <c r="M37" s="14">
        <f t="shared" si="1"/>
        <v>1.4355</v>
      </c>
      <c r="N37" s="14">
        <f t="shared" si="2"/>
        <v>0.29150000000000009</v>
      </c>
      <c r="O37" s="14">
        <f>STDEV(B$5:B37)*SQRT(12)</f>
        <v>0.17092981215053796</v>
      </c>
      <c r="P37" s="14">
        <f>STDEV(C$5:C37)*SQRT(12)</f>
        <v>0.13120061754982154</v>
      </c>
      <c r="Q37" s="181">
        <f t="shared" si="4"/>
        <v>3286.0810481069984</v>
      </c>
      <c r="R37" s="14">
        <f t="shared" si="11"/>
        <v>-0.3070097917918625</v>
      </c>
      <c r="S37" s="14">
        <f t="shared" si="12"/>
        <v>-0.1777202471959195</v>
      </c>
      <c r="T37" s="14">
        <f t="shared" si="13"/>
        <v>0.129289544595943</v>
      </c>
      <c r="U37" s="14">
        <f>AVERAGE($N$5:$N37)</f>
        <v>0.41772121212121238</v>
      </c>
      <c r="V37" s="14">
        <f t="shared" si="14"/>
        <v>3.8751148053049897E-2</v>
      </c>
      <c r="W37" s="14">
        <f t="shared" si="15"/>
        <v>-0.12824450236037785</v>
      </c>
      <c r="X37" s="14">
        <f t="shared" si="16"/>
        <v>-8.8226892888591549E-2</v>
      </c>
      <c r="Y37" s="14">
        <f t="shared" si="17"/>
        <v>0.25522254330201927</v>
      </c>
      <c r="Z37" s="14">
        <f t="shared" si="18"/>
        <v>0.15183277915694723</v>
      </c>
      <c r="AA37" s="14">
        <f t="shared" si="19"/>
        <v>-0.50248109238774752</v>
      </c>
      <c r="AB37" s="14">
        <f t="shared" si="20"/>
        <v>-0.34568612845530527</v>
      </c>
      <c r="AC37">
        <f t="shared" si="21"/>
        <v>1</v>
      </c>
      <c r="AD37" s="14">
        <f t="shared" si="22"/>
        <v>-0.3070097917918625</v>
      </c>
      <c r="AE37" s="14">
        <f t="shared" si="23"/>
        <v>-0.1777202471959195</v>
      </c>
      <c r="AF37" s="181">
        <f>MAX(F$4:F37)</f>
        <v>1054.79</v>
      </c>
      <c r="AG37">
        <f ca="1">MIN(INDIRECT("f"&amp;ROW(AG37)-AH37):F37)</f>
        <v>463.76</v>
      </c>
      <c r="AH37">
        <f t="shared" si="5"/>
        <v>24</v>
      </c>
      <c r="AI37" s="14" t="str">
        <f t="shared" ca="1" si="6"/>
        <v/>
      </c>
      <c r="AJ37" s="14">
        <f t="shared" ca="1" si="7"/>
        <v>0</v>
      </c>
      <c r="AK37" s="181">
        <f>MAX(G$4:G37)</f>
        <v>1599.16</v>
      </c>
      <c r="AL37">
        <f ca="1">MIN(INDIRECT("g"&amp;ROW(AL37)-AM37):G37)</f>
        <v>1081.42</v>
      </c>
      <c r="AM37">
        <f t="shared" si="8"/>
        <v>15</v>
      </c>
      <c r="AN37" s="14" t="str">
        <f t="shared" ca="1" si="9"/>
        <v/>
      </c>
      <c r="AO37" s="14">
        <f t="shared" ca="1" si="10"/>
        <v>0</v>
      </c>
      <c r="AP37" s="193">
        <f t="shared" si="3"/>
        <v>0.15096153846153848</v>
      </c>
    </row>
    <row r="38" spans="1:42">
      <c r="A38" s="177">
        <v>39995</v>
      </c>
      <c r="B38" s="14">
        <v>6.2600000000000003E-2</v>
      </c>
      <c r="C38" s="14">
        <v>2.3E-2</v>
      </c>
      <c r="D38" s="14">
        <v>1.6299999999999999E-2</v>
      </c>
      <c r="E38" s="14">
        <v>8.0000000000000004E-4</v>
      </c>
      <c r="F38" s="181">
        <v>577.41999999999996</v>
      </c>
      <c r="G38" s="181">
        <v>1345.04</v>
      </c>
      <c r="H38" s="181">
        <v>2515</v>
      </c>
      <c r="I38" s="181">
        <v>1019.47</v>
      </c>
      <c r="J38" s="14">
        <v>0.99629999999999996</v>
      </c>
      <c r="K38" s="14">
        <v>0.69869999999999999</v>
      </c>
      <c r="L38" s="14">
        <f t="shared" si="0"/>
        <v>-0.69869999999999999</v>
      </c>
      <c r="M38" s="14">
        <f t="shared" si="1"/>
        <v>1.6949999999999998</v>
      </c>
      <c r="N38" s="14">
        <f t="shared" si="2"/>
        <v>0.29759999999999998</v>
      </c>
      <c r="O38" s="14">
        <f>STDEV(B$5:B38)*SQRT(12)</f>
        <v>0.16855434801657929</v>
      </c>
      <c r="P38" s="14">
        <f>STDEV(C$5:C38)*SQRT(12)</f>
        <v>0.13004791054620277</v>
      </c>
      <c r="Q38" s="181">
        <f t="shared" si="4"/>
        <v>3384.5665450060164</v>
      </c>
      <c r="R38" s="14">
        <f t="shared" si="11"/>
        <v>-0.20608818798036599</v>
      </c>
      <c r="S38" s="14">
        <f t="shared" si="12"/>
        <v>-4.1850989108057512E-2</v>
      </c>
      <c r="T38" s="14">
        <f t="shared" si="13"/>
        <v>0.16423719887230848</v>
      </c>
      <c r="U38" s="14">
        <f>AVERAGE($N$5:$N38)</f>
        <v>0.41418823529411786</v>
      </c>
      <c r="V38" s="14">
        <f t="shared" si="14"/>
        <v>2.4027458151593305E-2</v>
      </c>
      <c r="W38" s="14">
        <f t="shared" si="15"/>
        <v>-8.5359302894550224E-2</v>
      </c>
      <c r="X38" s="14">
        <f t="shared" si="16"/>
        <v>1.9480855634899402E-2</v>
      </c>
      <c r="Y38" s="14">
        <f t="shared" si="17"/>
        <v>0.12886761668104293</v>
      </c>
      <c r="Z38" s="14">
        <f t="shared" si="18"/>
        <v>0.18645070631718966</v>
      </c>
      <c r="AA38" s="14">
        <f t="shared" si="19"/>
        <v>-0.66237977463198483</v>
      </c>
      <c r="AB38" s="14">
        <f t="shared" si="20"/>
        <v>0.15116951905082554</v>
      </c>
      <c r="AC38">
        <f t="shared" si="21"/>
        <v>1</v>
      </c>
      <c r="AD38" s="14">
        <f t="shared" si="22"/>
        <v>-0.20608818798036599</v>
      </c>
      <c r="AE38" s="14">
        <f t="shared" si="23"/>
        <v>-4.1850989108057512E-2</v>
      </c>
      <c r="AF38" s="181">
        <f>MAX(F$4:F38)</f>
        <v>1054.79</v>
      </c>
      <c r="AG38">
        <f ca="1">MIN(INDIRECT("f"&amp;ROW(AG38)-AH38):F38)</f>
        <v>463.76</v>
      </c>
      <c r="AH38">
        <f t="shared" si="5"/>
        <v>25</v>
      </c>
      <c r="AI38" s="14" t="str">
        <f t="shared" ca="1" si="6"/>
        <v/>
      </c>
      <c r="AJ38" s="14">
        <f t="shared" ca="1" si="7"/>
        <v>0</v>
      </c>
      <c r="AK38" s="181">
        <f>MAX(G$4:G38)</f>
        <v>1599.16</v>
      </c>
      <c r="AL38">
        <f ca="1">MIN(INDIRECT("g"&amp;ROW(AL38)-AM38):G38)</f>
        <v>1081.42</v>
      </c>
      <c r="AM38">
        <f t="shared" si="8"/>
        <v>16</v>
      </c>
      <c r="AN38" s="14" t="str">
        <f t="shared" ca="1" si="9"/>
        <v/>
      </c>
      <c r="AO38" s="14">
        <f t="shared" ca="1" si="10"/>
        <v>0</v>
      </c>
      <c r="AP38" s="193">
        <f t="shared" si="3"/>
        <v>0.14259338772005153</v>
      </c>
    </row>
    <row r="39" spans="1:42">
      <c r="A39" s="177">
        <v>40026</v>
      </c>
      <c r="B39" s="14">
        <v>2.0899999999999998E-2</v>
      </c>
      <c r="C39" s="14">
        <v>2.5000000000000001E-3</v>
      </c>
      <c r="D39" s="14">
        <v>3.5000000000000001E-3</v>
      </c>
      <c r="E39" s="14">
        <v>8.0000000000000004E-4</v>
      </c>
      <c r="F39" s="181">
        <v>613.57000000000005</v>
      </c>
      <c r="G39" s="181">
        <v>1375.97</v>
      </c>
      <c r="H39" s="181">
        <v>2474</v>
      </c>
      <c r="I39" s="181">
        <v>1020.28</v>
      </c>
      <c r="J39" s="14">
        <v>0.98919999999999997</v>
      </c>
      <c r="K39" s="14">
        <v>0.73240000000000005</v>
      </c>
      <c r="L39" s="14">
        <f t="shared" si="0"/>
        <v>-0.73240000000000005</v>
      </c>
      <c r="M39" s="14">
        <f t="shared" si="1"/>
        <v>1.7216</v>
      </c>
      <c r="N39" s="14">
        <f t="shared" si="2"/>
        <v>0.25679999999999992</v>
      </c>
      <c r="O39" s="14">
        <f>STDEV(B$5:B39)*SQRT(12)</f>
        <v>0.16681830985896509</v>
      </c>
      <c r="P39" s="14">
        <f>STDEV(C$5:C39)*SQRT(12)</f>
        <v>0.13077422304018749</v>
      </c>
      <c r="Q39" s="181">
        <f t="shared" si="4"/>
        <v>3429.7832216644374</v>
      </c>
      <c r="R39" s="14">
        <f t="shared" si="11"/>
        <v>-0.22667691764765185</v>
      </c>
      <c r="S39" s="14">
        <f t="shared" si="12"/>
        <v>-2.8756767440054731E-2</v>
      </c>
      <c r="T39" s="14">
        <f t="shared" si="13"/>
        <v>0.19792015020759712</v>
      </c>
      <c r="U39" s="14">
        <f>AVERAGE($N$5:$N39)</f>
        <v>0.40969142857142876</v>
      </c>
      <c r="V39" s="14">
        <f t="shared" si="14"/>
        <v>3.465695776331762E-2</v>
      </c>
      <c r="W39" s="14">
        <f t="shared" si="15"/>
        <v>-9.2867590215234594E-2</v>
      </c>
      <c r="X39" s="14">
        <f t="shared" si="16"/>
        <v>2.9453865011862243E-2</v>
      </c>
      <c r="Y39" s="14">
        <f t="shared" si="17"/>
        <v>0.15697841299041448</v>
      </c>
      <c r="Z39" s="14">
        <f t="shared" si="18"/>
        <v>0.22077530982195537</v>
      </c>
      <c r="AA39" s="14">
        <f t="shared" si="19"/>
        <v>-0.59159465589007665</v>
      </c>
      <c r="AB39" s="14">
        <f t="shared" si="20"/>
        <v>0.18763003428796782</v>
      </c>
      <c r="AC39">
        <f t="shared" si="21"/>
        <v>0.99999999999999978</v>
      </c>
      <c r="AD39" s="14">
        <f t="shared" si="22"/>
        <v>-0.22667691764765185</v>
      </c>
      <c r="AE39" s="14">
        <f t="shared" si="23"/>
        <v>-2.8756767440054731E-2</v>
      </c>
      <c r="AF39" s="181">
        <f>MAX(F$4:F39)</f>
        <v>1054.79</v>
      </c>
      <c r="AG39">
        <f ca="1">MIN(INDIRECT("f"&amp;ROW(AG39)-AH39):F39)</f>
        <v>463.76</v>
      </c>
      <c r="AH39">
        <f t="shared" si="5"/>
        <v>26</v>
      </c>
      <c r="AI39" s="14" t="str">
        <f t="shared" ca="1" si="6"/>
        <v/>
      </c>
      <c r="AJ39" s="14">
        <f t="shared" ca="1" si="7"/>
        <v>0</v>
      </c>
      <c r="AK39" s="181">
        <f>MAX(G$4:G39)</f>
        <v>1599.16</v>
      </c>
      <c r="AL39">
        <f ca="1">MIN(INDIRECT("g"&amp;ROW(AL39)-AM39):G39)</f>
        <v>1081.42</v>
      </c>
      <c r="AM39">
        <f t="shared" si="8"/>
        <v>17</v>
      </c>
      <c r="AN39" s="14" t="str">
        <f t="shared" ca="1" si="9"/>
        <v/>
      </c>
      <c r="AO39" s="14">
        <f t="shared" ca="1" si="10"/>
        <v>0</v>
      </c>
      <c r="AP39" s="193">
        <f t="shared" si="3"/>
        <v>0.1350628072091753</v>
      </c>
    </row>
    <row r="40" spans="1:42">
      <c r="A40" s="177">
        <v>40057</v>
      </c>
      <c r="B40" s="14">
        <v>1.9300000000000001E-2</v>
      </c>
      <c r="C40" s="14">
        <v>3.4200000000000001E-2</v>
      </c>
      <c r="D40" s="14">
        <v>1.54E-2</v>
      </c>
      <c r="E40" s="14">
        <v>8.0000000000000004E-4</v>
      </c>
      <c r="F40" s="181">
        <v>626.39</v>
      </c>
      <c r="G40" s="181">
        <v>1379.41</v>
      </c>
      <c r="H40" s="181">
        <v>2482.66</v>
      </c>
      <c r="I40" s="181">
        <v>1021.1</v>
      </c>
      <c r="J40" s="14">
        <v>0.8619</v>
      </c>
      <c r="K40" s="14">
        <v>0.62309999999999999</v>
      </c>
      <c r="L40" s="14">
        <f t="shared" si="0"/>
        <v>-0.62309999999999999</v>
      </c>
      <c r="M40" s="14">
        <f t="shared" si="1"/>
        <v>1.4849999999999999</v>
      </c>
      <c r="N40" s="14">
        <f t="shared" si="2"/>
        <v>0.23880000000000001</v>
      </c>
      <c r="O40" s="14">
        <f>STDEV(B$5:B40)*SQRT(12)</f>
        <v>0.16521121690271579</v>
      </c>
      <c r="P40" s="14">
        <f>STDEV(C$5:C40)*SQRT(12)</f>
        <v>0.12907179360635654</v>
      </c>
      <c r="Q40" s="181">
        <f t="shared" si="4"/>
        <v>3435.5572674921555</v>
      </c>
      <c r="R40" s="14">
        <f t="shared" si="11"/>
        <v>-0.24197979064561026</v>
      </c>
      <c r="S40" s="14">
        <f t="shared" si="12"/>
        <v>6.0415737765409538E-2</v>
      </c>
      <c r="T40" s="14">
        <f t="shared" si="13"/>
        <v>0.3023955284110198</v>
      </c>
      <c r="U40" s="14">
        <f>AVERAGE($N$5:$N40)</f>
        <v>0.40494444444444461</v>
      </c>
      <c r="V40" s="14">
        <f t="shared" si="14"/>
        <v>4.0203597883597925E-2</v>
      </c>
      <c r="W40" s="14">
        <f t="shared" si="15"/>
        <v>-9.7988371889769665E-2</v>
      </c>
      <c r="X40" s="14">
        <f t="shared" si="16"/>
        <v>0.11820051177158128</v>
      </c>
      <c r="Y40" s="14">
        <f t="shared" si="17"/>
        <v>0.25639248154494887</v>
      </c>
      <c r="Z40" s="14">
        <f t="shared" si="18"/>
        <v>0.15680490177146525</v>
      </c>
      <c r="AA40" s="14">
        <f t="shared" si="19"/>
        <v>-0.38218114392169122</v>
      </c>
      <c r="AB40" s="14">
        <f t="shared" si="20"/>
        <v>0.4610139543068435</v>
      </c>
      <c r="AC40">
        <f t="shared" si="21"/>
        <v>1</v>
      </c>
      <c r="AD40" s="14">
        <f t="shared" si="22"/>
        <v>-0.24197979064561026</v>
      </c>
      <c r="AE40" s="14">
        <f t="shared" si="23"/>
        <v>6.0415737765409538E-2</v>
      </c>
      <c r="AF40" s="181">
        <f>MAX(F$4:F40)</f>
        <v>1054.79</v>
      </c>
      <c r="AG40">
        <f ca="1">MIN(INDIRECT("f"&amp;ROW(AG40)-AH40):F40)</f>
        <v>463.76</v>
      </c>
      <c r="AH40">
        <f t="shared" si="5"/>
        <v>27</v>
      </c>
      <c r="AI40" s="14" t="str">
        <f t="shared" ca="1" si="6"/>
        <v/>
      </c>
      <c r="AJ40" s="14">
        <f t="shared" ca="1" si="7"/>
        <v>0</v>
      </c>
      <c r="AK40" s="181">
        <f>MAX(G$4:G40)</f>
        <v>1599.16</v>
      </c>
      <c r="AL40">
        <f ca="1">MIN(INDIRECT("g"&amp;ROW(AL40)-AM40):G40)</f>
        <v>1081.42</v>
      </c>
      <c r="AM40">
        <f t="shared" si="8"/>
        <v>18</v>
      </c>
      <c r="AN40" s="14" t="str">
        <f t="shared" ca="1" si="9"/>
        <v/>
      </c>
      <c r="AO40" s="14">
        <f t="shared" ca="1" si="10"/>
        <v>0</v>
      </c>
      <c r="AP40" s="193">
        <f t="shared" si="3"/>
        <v>0.13832450649975928</v>
      </c>
    </row>
    <row r="41" spans="1:42">
      <c r="A41" s="177">
        <v>40087</v>
      </c>
      <c r="B41" s="14">
        <v>5.3600000000000002E-2</v>
      </c>
      <c r="C41" s="14">
        <v>3.5200000000000002E-2</v>
      </c>
      <c r="D41" s="14">
        <v>0.19839999999999999</v>
      </c>
      <c r="E41" s="14">
        <v>8.0000000000000004E-4</v>
      </c>
      <c r="F41" s="181">
        <v>638.48</v>
      </c>
      <c r="G41" s="181">
        <v>1426.59</v>
      </c>
      <c r="H41" s="181">
        <v>2444.4299999999998</v>
      </c>
      <c r="I41" s="181">
        <v>1021.92</v>
      </c>
      <c r="J41" s="14">
        <v>1.2609999999999999</v>
      </c>
      <c r="K41" s="14">
        <v>0.72599999999999998</v>
      </c>
      <c r="L41" s="14">
        <f t="shared" si="0"/>
        <v>-0.72599999999999998</v>
      </c>
      <c r="M41" s="14">
        <f t="shared" si="1"/>
        <v>1.9869999999999999</v>
      </c>
      <c r="N41" s="14">
        <f t="shared" si="2"/>
        <v>0.53499999999999992</v>
      </c>
      <c r="O41" s="14">
        <f>STDEV(B$5:B41)*SQRT(12)</f>
        <v>0.16295019965488713</v>
      </c>
      <c r="P41" s="14">
        <f>STDEV(C$5:C41)*SQRT(12)</f>
        <v>0.1274056478304596</v>
      </c>
      <c r="Q41" s="181">
        <f t="shared" si="4"/>
        <v>3494.6896573000222</v>
      </c>
      <c r="R41" s="14">
        <f t="shared" si="11"/>
        <v>-0.22641303689343917</v>
      </c>
      <c r="S41" s="14">
        <f t="shared" si="12"/>
        <v>0.18778568752341696</v>
      </c>
      <c r="T41" s="14">
        <f t="shared" si="13"/>
        <v>0.41419872441685612</v>
      </c>
      <c r="U41" s="14">
        <f>AVERAGE($N$5:$N41)</f>
        <v>0.40845945945945966</v>
      </c>
      <c r="V41" s="14">
        <f t="shared" si="14"/>
        <v>-2.8650428073921076E-2</v>
      </c>
      <c r="W41" s="14">
        <f t="shared" si="15"/>
        <v>-9.2480546664068866E-2</v>
      </c>
      <c r="X41" s="14">
        <f t="shared" si="16"/>
        <v>0.3089166622614069</v>
      </c>
      <c r="Y41" s="14">
        <f t="shared" si="17"/>
        <v>0.43004763699939685</v>
      </c>
      <c r="Z41" s="14">
        <f t="shared" si="18"/>
        <v>-6.6621521917492266E-2</v>
      </c>
      <c r="AA41" s="14">
        <f t="shared" si="19"/>
        <v>-0.21504721502329421</v>
      </c>
      <c r="AB41" s="14">
        <f t="shared" si="20"/>
        <v>0.71833126305921347</v>
      </c>
      <c r="AC41">
        <f t="shared" si="21"/>
        <v>0.99999999999999989</v>
      </c>
      <c r="AD41" s="14">
        <f t="shared" si="22"/>
        <v>-0.22641303689343917</v>
      </c>
      <c r="AE41" s="14">
        <f t="shared" si="23"/>
        <v>0.18778568752341696</v>
      </c>
      <c r="AF41" s="181">
        <f>MAX(F$4:F41)</f>
        <v>1054.79</v>
      </c>
      <c r="AG41">
        <f ca="1">MIN(INDIRECT("f"&amp;ROW(AG41)-AH41):F41)</f>
        <v>463.76</v>
      </c>
      <c r="AH41">
        <f t="shared" si="5"/>
        <v>28</v>
      </c>
      <c r="AI41" s="14" t="str">
        <f t="shared" ca="1" si="6"/>
        <v/>
      </c>
      <c r="AJ41" s="14">
        <f t="shared" ca="1" si="7"/>
        <v>0</v>
      </c>
      <c r="AK41" s="181">
        <f>MAX(G$4:G41)</f>
        <v>1599.16</v>
      </c>
      <c r="AL41">
        <f ca="1">MIN(INDIRECT("g"&amp;ROW(AL41)-AM41):G41)</f>
        <v>1081.42</v>
      </c>
      <c r="AM41">
        <f t="shared" si="8"/>
        <v>19</v>
      </c>
      <c r="AN41" s="14" t="str">
        <f t="shared" ca="1" si="9"/>
        <v/>
      </c>
      <c r="AO41" s="14">
        <f t="shared" ca="1" si="10"/>
        <v>0</v>
      </c>
      <c r="AP41" s="193">
        <f t="shared" si="3"/>
        <v>0.17369146005509642</v>
      </c>
    </row>
    <row r="42" spans="1:42">
      <c r="A42" s="177">
        <v>40118</v>
      </c>
      <c r="B42" s="14">
        <v>3.8399999999999997E-2</v>
      </c>
      <c r="C42" s="14">
        <v>5.1999999999999998E-3</v>
      </c>
      <c r="D42" s="14">
        <v>0.2014</v>
      </c>
      <c r="E42" s="14">
        <v>8.0000000000000004E-4</v>
      </c>
      <c r="F42" s="181">
        <v>604.26</v>
      </c>
      <c r="G42" s="181">
        <v>1376.37</v>
      </c>
      <c r="H42" s="181">
        <v>2929.41</v>
      </c>
      <c r="I42" s="181">
        <v>1022.73</v>
      </c>
      <c r="J42" s="14">
        <v>1.1811</v>
      </c>
      <c r="K42" s="14">
        <v>0.66310000000000002</v>
      </c>
      <c r="L42" s="14">
        <f t="shared" si="0"/>
        <v>-0.66310000000000002</v>
      </c>
      <c r="M42" s="14">
        <f t="shared" si="1"/>
        <v>1.8442000000000001</v>
      </c>
      <c r="N42" s="14">
        <f t="shared" si="2"/>
        <v>0.51800000000000002</v>
      </c>
      <c r="O42" s="14">
        <f>STDEV(B$5:B42)*SQRT(12)</f>
        <v>0.16080109896441946</v>
      </c>
      <c r="P42" s="14">
        <f>STDEV(C$5:C42)*SQRT(12)</f>
        <v>0.12768345583243887</v>
      </c>
      <c r="Q42" s="181">
        <f t="shared" si="4"/>
        <v>3561.3923337651345</v>
      </c>
      <c r="R42" s="14">
        <f t="shared" si="11"/>
        <v>-0.15760271012532934</v>
      </c>
      <c r="S42" s="14">
        <f t="shared" si="12"/>
        <v>0.27274324499269453</v>
      </c>
      <c r="T42" s="14">
        <f t="shared" si="13"/>
        <v>0.43034595511802387</v>
      </c>
      <c r="U42" s="14">
        <f>AVERAGE($N$5:$N42)</f>
        <v>0.41134210526315806</v>
      </c>
      <c r="V42" s="14">
        <f t="shared" si="14"/>
        <v>-1.6809573266788391E-2</v>
      </c>
      <c r="W42" s="14">
        <f t="shared" si="15"/>
        <v>-6.4828630578132207E-2</v>
      </c>
      <c r="X42" s="14">
        <f t="shared" si="16"/>
        <v>0.35438144883761513</v>
      </c>
      <c r="Y42" s="14">
        <f t="shared" si="17"/>
        <v>0.43601965268253573</v>
      </c>
      <c r="Z42" s="14">
        <f t="shared" si="18"/>
        <v>-3.8552329380958837E-2</v>
      </c>
      <c r="AA42" s="14">
        <f t="shared" si="19"/>
        <v>-0.14868281780255829</v>
      </c>
      <c r="AB42" s="14">
        <f t="shared" si="20"/>
        <v>0.81276485281648292</v>
      </c>
      <c r="AC42">
        <f t="shared" si="21"/>
        <v>1</v>
      </c>
      <c r="AD42" s="14">
        <f t="shared" si="22"/>
        <v>-0.15760271012532934</v>
      </c>
      <c r="AE42" s="14">
        <f t="shared" si="23"/>
        <v>0.27274324499269453</v>
      </c>
      <c r="AF42" s="181">
        <f>MAX(F$4:F42)</f>
        <v>1054.79</v>
      </c>
      <c r="AG42">
        <f ca="1">MIN(INDIRECT("f"&amp;ROW(AG42)-AH42):F42)</f>
        <v>463.76</v>
      </c>
      <c r="AH42">
        <f t="shared" si="5"/>
        <v>29</v>
      </c>
      <c r="AI42" s="14" t="str">
        <f t="shared" ca="1" si="6"/>
        <v/>
      </c>
      <c r="AJ42" s="14">
        <f t="shared" ca="1" si="7"/>
        <v>0</v>
      </c>
      <c r="AK42" s="181">
        <f>MAX(G$4:G42)</f>
        <v>1599.16</v>
      </c>
      <c r="AL42">
        <f ca="1">MIN(INDIRECT("g"&amp;ROW(AL42)-AM42):G42)</f>
        <v>1081.42</v>
      </c>
      <c r="AM42">
        <f t="shared" si="8"/>
        <v>20</v>
      </c>
      <c r="AN42" s="14" t="str">
        <f t="shared" ca="1" si="9"/>
        <v/>
      </c>
      <c r="AO42" s="14">
        <f t="shared" ca="1" si="10"/>
        <v>0</v>
      </c>
      <c r="AP42" s="193">
        <f t="shared" si="3"/>
        <v>0.17811793093047806</v>
      </c>
    </row>
    <row r="43" spans="1:42">
      <c r="A43" s="177">
        <v>40148</v>
      </c>
      <c r="B43" s="14">
        <v>3.2800000000000003E-2</v>
      </c>
      <c r="C43" s="14">
        <v>7.3000000000000001E-3</v>
      </c>
      <c r="D43" s="14">
        <v>0.11550000000000001</v>
      </c>
      <c r="E43" s="14">
        <v>8.0000000000000004E-4</v>
      </c>
      <c r="F43" s="181">
        <v>627.46</v>
      </c>
      <c r="G43" s="181">
        <v>1383.53</v>
      </c>
      <c r="H43" s="181">
        <v>2339.42</v>
      </c>
      <c r="I43" s="181">
        <v>1023.55</v>
      </c>
      <c r="J43" s="14">
        <v>1.0464</v>
      </c>
      <c r="K43" s="14">
        <v>0.76319999999999999</v>
      </c>
      <c r="L43" s="14">
        <f t="shared" si="0"/>
        <v>-0.76319999999999999</v>
      </c>
      <c r="M43" s="14">
        <f t="shared" si="1"/>
        <v>1.8096000000000001</v>
      </c>
      <c r="N43" s="14">
        <f t="shared" si="2"/>
        <v>0.28320000000000001</v>
      </c>
      <c r="O43" s="14">
        <f>STDEV(B$5:B43)*SQRT(12)</f>
        <v>0.15885313717482388</v>
      </c>
      <c r="P43" s="14">
        <f>STDEV(C$5:C43)*SQRT(12)</f>
        <v>0.12765409232550826</v>
      </c>
      <c r="Q43" s="181">
        <f t="shared" si="4"/>
        <v>3571.6262197817005</v>
      </c>
      <c r="R43" s="14">
        <f t="shared" si="11"/>
        <v>-2.5153421890779071E-2</v>
      </c>
      <c r="S43" s="14">
        <f t="shared" si="12"/>
        <v>0.26669047095876364</v>
      </c>
      <c r="T43" s="14">
        <f t="shared" si="13"/>
        <v>0.29184389284954271</v>
      </c>
      <c r="U43" s="14">
        <f>AVERAGE($N$5:$N43)</f>
        <v>0.40805641025641048</v>
      </c>
      <c r="V43" s="14">
        <f t="shared" si="14"/>
        <v>3.1405659629476878E-3</v>
      </c>
      <c r="W43" s="14">
        <f t="shared" si="15"/>
        <v>-1.026401504241632E-2</v>
      </c>
      <c r="X43" s="14">
        <f t="shared" si="16"/>
        <v>0.27381392003823229</v>
      </c>
      <c r="Y43" s="14">
        <f t="shared" si="17"/>
        <v>0.28721850104359631</v>
      </c>
      <c r="Z43" s="14">
        <f t="shared" si="18"/>
        <v>1.0934413874929971E-2</v>
      </c>
      <c r="AA43" s="14">
        <f t="shared" si="19"/>
        <v>-3.5735911875880051E-2</v>
      </c>
      <c r="AB43" s="14">
        <f t="shared" si="20"/>
        <v>0.95332967424918991</v>
      </c>
      <c r="AC43">
        <f t="shared" si="21"/>
        <v>1</v>
      </c>
      <c r="AD43" s="14">
        <f t="shared" si="22"/>
        <v>-2.5153421890779071E-2</v>
      </c>
      <c r="AE43" s="14">
        <f t="shared" si="23"/>
        <v>0.26669047095876364</v>
      </c>
      <c r="AF43" s="181">
        <f>MAX(F$4:F43)</f>
        <v>1054.79</v>
      </c>
      <c r="AG43">
        <f ca="1">MIN(INDIRECT("f"&amp;ROW(AG43)-AH43):F43)</f>
        <v>463.76</v>
      </c>
      <c r="AH43">
        <f t="shared" si="5"/>
        <v>30</v>
      </c>
      <c r="AI43" s="14" t="str">
        <f t="shared" ca="1" si="6"/>
        <v/>
      </c>
      <c r="AJ43" s="14">
        <f t="shared" ca="1" si="7"/>
        <v>0</v>
      </c>
      <c r="AK43" s="181">
        <f>MAX(G$4:G43)</f>
        <v>1599.16</v>
      </c>
      <c r="AL43">
        <f ca="1">MIN(INDIRECT("g"&amp;ROW(AL43)-AM43):G43)</f>
        <v>1081.42</v>
      </c>
      <c r="AM43">
        <f t="shared" si="8"/>
        <v>21</v>
      </c>
      <c r="AN43" s="14" t="str">
        <f t="shared" ca="1" si="9"/>
        <v/>
      </c>
      <c r="AO43" s="14">
        <f t="shared" ca="1" si="10"/>
        <v>0</v>
      </c>
      <c r="AP43" s="193">
        <f t="shared" si="3"/>
        <v>0.13710691823899371</v>
      </c>
    </row>
    <row r="44" spans="1:42">
      <c r="A44" s="177">
        <v>40179</v>
      </c>
      <c r="B44" s="14">
        <v>4.0099999999999997E-2</v>
      </c>
      <c r="C44" s="14">
        <v>6.1000000000000004E-3</v>
      </c>
      <c r="D44" s="14">
        <v>0.1356</v>
      </c>
      <c r="E44" s="14">
        <v>8.0000000000000004E-4</v>
      </c>
      <c r="F44" s="181">
        <v>648.04</v>
      </c>
      <c r="G44" s="181">
        <v>1393.63</v>
      </c>
      <c r="H44" s="181">
        <v>2069.2199999999998</v>
      </c>
      <c r="I44" s="181">
        <v>1024.3699999999999</v>
      </c>
      <c r="J44" s="14">
        <v>1.2509999999999999</v>
      </c>
      <c r="K44" s="14">
        <v>0.5403</v>
      </c>
      <c r="L44" s="14">
        <f t="shared" si="0"/>
        <v>-0.5403</v>
      </c>
      <c r="M44" s="14">
        <f t="shared" si="1"/>
        <v>1.7912999999999999</v>
      </c>
      <c r="N44" s="14">
        <f t="shared" si="2"/>
        <v>0.71069999999999989</v>
      </c>
      <c r="O44" s="14">
        <f>STDEV(B$5:B44)*SQRT(12)</f>
        <v>0.15683835873035265</v>
      </c>
      <c r="P44" s="14">
        <f>STDEV(C$5:C44)*SQRT(12)</f>
        <v>0.12764919204902642</v>
      </c>
      <c r="Q44" s="181">
        <f t="shared" si="4"/>
        <v>3586.181498855226</v>
      </c>
      <c r="R44" s="14">
        <f t="shared" si="11"/>
        <v>1.291068804901685E-2</v>
      </c>
      <c r="S44" s="14">
        <f t="shared" si="12"/>
        <v>0.2881796165862498</v>
      </c>
      <c r="T44" s="14">
        <f t="shared" si="13"/>
        <v>0.27526892853723295</v>
      </c>
      <c r="U44" s="14">
        <f>AVERAGE($N$5:$N44)</f>
        <v>0.41562250000000017</v>
      </c>
      <c r="V44" s="14">
        <f t="shared" si="14"/>
        <v>3.8096535527837659E-3</v>
      </c>
      <c r="W44" s="14">
        <f t="shared" si="15"/>
        <v>5.3659724436525081E-3</v>
      </c>
      <c r="X44" s="14">
        <f t="shared" si="16"/>
        <v>0.27900399058981351</v>
      </c>
      <c r="Y44" s="14">
        <f t="shared" si="17"/>
        <v>0.2881796165862498</v>
      </c>
      <c r="Z44" s="14">
        <f t="shared" si="18"/>
        <v>1.321971899995074E-2</v>
      </c>
      <c r="AA44" s="14">
        <f t="shared" si="19"/>
        <v>1.8620235904320166E-2</v>
      </c>
      <c r="AB44" s="14">
        <f t="shared" si="20"/>
        <v>0.96816004509572906</v>
      </c>
      <c r="AC44">
        <f t="shared" si="21"/>
        <v>1</v>
      </c>
      <c r="AD44" s="14">
        <f t="shared" si="22"/>
        <v>1.291068804901685E-2</v>
      </c>
      <c r="AE44" s="14">
        <f t="shared" si="23"/>
        <v>0.2881796165862498</v>
      </c>
      <c r="AF44" s="181">
        <f>MAX(F$4:F44)</f>
        <v>1054.79</v>
      </c>
      <c r="AG44">
        <f ca="1">MIN(INDIRECT("f"&amp;ROW(AG44)-AH44):F44)</f>
        <v>463.76</v>
      </c>
      <c r="AH44">
        <f t="shared" si="5"/>
        <v>31</v>
      </c>
      <c r="AI44" s="14" t="str">
        <f t="shared" ca="1" si="6"/>
        <v/>
      </c>
      <c r="AJ44" s="14">
        <f t="shared" ca="1" si="7"/>
        <v>0</v>
      </c>
      <c r="AK44" s="181">
        <f>MAX(G$4:G44)</f>
        <v>1599.16</v>
      </c>
      <c r="AL44">
        <f ca="1">MIN(INDIRECT("g"&amp;ROW(AL44)-AM44):G44)</f>
        <v>1081.42</v>
      </c>
      <c r="AM44">
        <f t="shared" si="8"/>
        <v>22</v>
      </c>
      <c r="AN44" s="14" t="str">
        <f t="shared" ca="1" si="9"/>
        <v/>
      </c>
      <c r="AO44" s="14">
        <f t="shared" ca="1" si="10"/>
        <v>0</v>
      </c>
      <c r="AP44" s="193">
        <f t="shared" si="3"/>
        <v>0.23153803442531923</v>
      </c>
    </row>
    <row r="45" spans="1:42">
      <c r="A45" s="177">
        <v>40210</v>
      </c>
      <c r="B45" s="14">
        <v>5.5800000000000002E-2</v>
      </c>
      <c r="C45" s="14">
        <v>1.26E-2</v>
      </c>
      <c r="D45" s="14">
        <v>0.20799999999999999</v>
      </c>
      <c r="E45" s="14">
        <v>8.0000000000000004E-4</v>
      </c>
      <c r="F45" s="181">
        <v>622.05999999999995</v>
      </c>
      <c r="G45" s="181">
        <v>1385.13</v>
      </c>
      <c r="H45" s="181">
        <v>2349.81</v>
      </c>
      <c r="I45" s="181">
        <v>1025.19</v>
      </c>
      <c r="J45" s="14">
        <v>1.2818000000000001</v>
      </c>
      <c r="K45" s="14">
        <v>0.57110000000000005</v>
      </c>
      <c r="L45" s="14">
        <f t="shared" si="0"/>
        <v>-0.57110000000000005</v>
      </c>
      <c r="M45" s="14">
        <f t="shared" si="1"/>
        <v>1.8529</v>
      </c>
      <c r="N45" s="14">
        <f t="shared" si="2"/>
        <v>0.7107</v>
      </c>
      <c r="O45" s="14">
        <f>STDEV(B$5:B45)*SQRT(12)</f>
        <v>0.15495619790215778</v>
      </c>
      <c r="P45" s="14">
        <f>STDEV(C$5:C45)*SQRT(12)</f>
        <v>0.12707257653528975</v>
      </c>
      <c r="Q45" s="181">
        <f t="shared" si="4"/>
        <v>3597.9876984035109</v>
      </c>
      <c r="R45" s="14">
        <f t="shared" si="11"/>
        <v>0.22426246285253182</v>
      </c>
      <c r="S45" s="14">
        <f t="shared" si="12"/>
        <v>0.1896676114403506</v>
      </c>
      <c r="T45" s="14">
        <f t="shared" si="13"/>
        <v>-3.4594851412181216E-2</v>
      </c>
      <c r="U45" s="14">
        <f>AVERAGE($N$5:$N45)</f>
        <v>0.42281951219512209</v>
      </c>
      <c r="V45" s="14">
        <f t="shared" si="14"/>
        <v>6.4560787202310177E-2</v>
      </c>
      <c r="W45" s="14">
        <f t="shared" si="15"/>
        <v>9.4822545146984197E-2</v>
      </c>
      <c r="X45" s="14">
        <f t="shared" si="16"/>
        <v>3.0284279091056243E-2</v>
      </c>
      <c r="Y45" s="14">
        <f t="shared" si="17"/>
        <v>0.1896676114403506</v>
      </c>
      <c r="Z45" s="14">
        <f t="shared" si="18"/>
        <v>0.34038909812819668</v>
      </c>
      <c r="AA45" s="14">
        <f t="shared" si="19"/>
        <v>0.49994062996256666</v>
      </c>
      <c r="AB45" s="14">
        <f t="shared" si="20"/>
        <v>0.15967027190923674</v>
      </c>
      <c r="AC45">
        <f t="shared" si="21"/>
        <v>1</v>
      </c>
      <c r="AD45" s="14">
        <f t="shared" si="22"/>
        <v>0.22426246285253182</v>
      </c>
      <c r="AE45" s="14">
        <f t="shared" si="23"/>
        <v>0.1896676114403506</v>
      </c>
      <c r="AF45" s="181">
        <f>MAX(F$4:F45)</f>
        <v>1054.79</v>
      </c>
      <c r="AG45">
        <f ca="1">MIN(INDIRECT("f"&amp;ROW(AG45)-AH45):F45)</f>
        <v>463.76</v>
      </c>
      <c r="AH45">
        <f t="shared" si="5"/>
        <v>32</v>
      </c>
      <c r="AI45" s="14" t="str">
        <f t="shared" ca="1" si="6"/>
        <v/>
      </c>
      <c r="AJ45" s="14">
        <f t="shared" ca="1" si="7"/>
        <v>0</v>
      </c>
      <c r="AK45" s="181">
        <f>MAX(G$4:G45)</f>
        <v>1599.16</v>
      </c>
      <c r="AL45">
        <f ca="1">MIN(INDIRECT("g"&amp;ROW(AL45)-AM45):G45)</f>
        <v>1081.42</v>
      </c>
      <c r="AM45">
        <f t="shared" si="8"/>
        <v>23</v>
      </c>
      <c r="AN45" s="14" t="str">
        <f t="shared" ca="1" si="9"/>
        <v/>
      </c>
      <c r="AO45" s="14">
        <f t="shared" ca="1" si="10"/>
        <v>0</v>
      </c>
      <c r="AP45" s="193">
        <f t="shared" si="3"/>
        <v>0.2244440553318158</v>
      </c>
    </row>
    <row r="46" spans="1:42">
      <c r="A46" s="177">
        <v>40238</v>
      </c>
      <c r="B46" s="14">
        <v>6.3399999999999998E-2</v>
      </c>
      <c r="C46" s="14">
        <v>5.4800000000000001E-2</v>
      </c>
      <c r="D46" s="14">
        <v>9.7900000000000001E-2</v>
      </c>
      <c r="E46" s="14">
        <v>8.0000000000000004E-4</v>
      </c>
      <c r="F46" s="181">
        <v>656.77</v>
      </c>
      <c r="G46" s="181">
        <v>1367.68</v>
      </c>
      <c r="H46" s="181">
        <v>1861.04</v>
      </c>
      <c r="I46" s="181">
        <v>1026.01</v>
      </c>
      <c r="J46" s="14">
        <v>1.1339999999999999</v>
      </c>
      <c r="K46" s="14">
        <v>0.45779999999999998</v>
      </c>
      <c r="L46" s="14">
        <f t="shared" si="0"/>
        <v>-0.45779999999999998</v>
      </c>
      <c r="M46" s="14">
        <f t="shared" si="1"/>
        <v>1.5917999999999999</v>
      </c>
      <c r="N46" s="14">
        <f t="shared" si="2"/>
        <v>0.67619999999999991</v>
      </c>
      <c r="O46" s="14">
        <f>STDEV(B$5:B46)*SQRT(12)</f>
        <v>0.15332945377104895</v>
      </c>
      <c r="P46" s="14">
        <f>STDEV(C$5:C46)*SQRT(12)</f>
        <v>0.12570837137655685</v>
      </c>
      <c r="Q46" s="181">
        <f t="shared" si="4"/>
        <v>3626.4678121111906</v>
      </c>
      <c r="R46" s="14">
        <f t="shared" si="11"/>
        <v>0.4161850957391755</v>
      </c>
      <c r="S46" s="14">
        <f t="shared" si="12"/>
        <v>0.13936304034522107</v>
      </c>
      <c r="T46" s="14">
        <f t="shared" si="13"/>
        <v>-0.27682205539395444</v>
      </c>
      <c r="U46" s="14">
        <f>AVERAGE($N$5:$N46)</f>
        <v>0.42885238095238115</v>
      </c>
      <c r="V46" s="14">
        <f t="shared" si="14"/>
        <v>0.10294239251419032</v>
      </c>
      <c r="W46" s="14">
        <f t="shared" si="15"/>
        <v>0.1784819692246401</v>
      </c>
      <c r="X46" s="14">
        <f t="shared" si="16"/>
        <v>-0.14206132139360939</v>
      </c>
      <c r="Y46" s="14">
        <f t="shared" si="17"/>
        <v>0.42348568313243984</v>
      </c>
      <c r="Z46" s="14">
        <f t="shared" si="18"/>
        <v>0.24308352469614983</v>
      </c>
      <c r="AA46" s="14">
        <f t="shared" si="19"/>
        <v>0.42145927556380247</v>
      </c>
      <c r="AB46" s="14">
        <f t="shared" si="20"/>
        <v>-0.33545719974004762</v>
      </c>
      <c r="AC46">
        <f t="shared" si="21"/>
        <v>0.99999999999999989</v>
      </c>
      <c r="AD46" s="14">
        <f t="shared" si="22"/>
        <v>0.4161850957391755</v>
      </c>
      <c r="AE46" s="14">
        <f t="shared" si="23"/>
        <v>0.13936304034522107</v>
      </c>
      <c r="AF46" s="181">
        <f>MAX(F$4:F46)</f>
        <v>1054.79</v>
      </c>
      <c r="AG46">
        <f ca="1">MIN(INDIRECT("f"&amp;ROW(AG46)-AH46):F46)</f>
        <v>463.76</v>
      </c>
      <c r="AH46">
        <f t="shared" si="5"/>
        <v>33</v>
      </c>
      <c r="AI46" s="14" t="str">
        <f t="shared" ca="1" si="6"/>
        <v/>
      </c>
      <c r="AJ46" s="14">
        <f t="shared" ca="1" si="7"/>
        <v>0</v>
      </c>
      <c r="AK46" s="181">
        <f>MAX(G$4:G46)</f>
        <v>1599.16</v>
      </c>
      <c r="AL46">
        <f ca="1">MIN(INDIRECT("g"&amp;ROW(AL46)-AM46):G46)</f>
        <v>1081.42</v>
      </c>
      <c r="AM46">
        <f t="shared" si="8"/>
        <v>24</v>
      </c>
      <c r="AN46" s="14" t="str">
        <f t="shared" ca="1" si="9"/>
        <v/>
      </c>
      <c r="AO46" s="14">
        <f t="shared" ca="1" si="10"/>
        <v>0</v>
      </c>
      <c r="AP46" s="193">
        <f t="shared" si="3"/>
        <v>0.24770642201834861</v>
      </c>
    </row>
    <row r="47" spans="1:42">
      <c r="A47" s="177">
        <v>40269</v>
      </c>
      <c r="B47" s="14">
        <v>4.5199999999999997E-2</v>
      </c>
      <c r="C47" s="14">
        <v>1.4800000000000001E-2</v>
      </c>
      <c r="D47" s="14">
        <v>0.25359999999999999</v>
      </c>
      <c r="E47" s="14">
        <v>8.0000000000000004E-4</v>
      </c>
      <c r="F47" s="181">
        <v>698.41</v>
      </c>
      <c r="G47" s="181">
        <v>1442.63</v>
      </c>
      <c r="H47" s="181">
        <v>1678.85</v>
      </c>
      <c r="I47" s="181">
        <v>1026.83</v>
      </c>
      <c r="J47" s="14">
        <v>1.3853</v>
      </c>
      <c r="K47" s="14">
        <v>0.59599999999999997</v>
      </c>
      <c r="L47" s="14">
        <f t="shared" si="0"/>
        <v>-0.59599999999999997</v>
      </c>
      <c r="M47" s="14">
        <f t="shared" si="1"/>
        <v>1.9813000000000001</v>
      </c>
      <c r="N47" s="14">
        <f t="shared" si="2"/>
        <v>0.7893</v>
      </c>
      <c r="O47" s="14">
        <f>STDEV(B$5:B47)*SQRT(12)</f>
        <v>0.15149503681441845</v>
      </c>
      <c r="P47" s="14">
        <f>STDEV(C$5:C47)*SQRT(12)</f>
        <v>0.12503224567475288</v>
      </c>
      <c r="Q47" s="181">
        <f t="shared" si="4"/>
        <v>3726.7708636953494</v>
      </c>
      <c r="R47" s="14">
        <f t="shared" si="11"/>
        <v>0.33426944826532146</v>
      </c>
      <c r="S47" s="14">
        <f t="shared" si="12"/>
        <v>0.24861950180892856</v>
      </c>
      <c r="T47" s="14">
        <f t="shared" si="13"/>
        <v>-8.56499464563929E-2</v>
      </c>
      <c r="U47" s="14">
        <f>AVERAGE($N$5:$N47)</f>
        <v>0.43723488372093045</v>
      </c>
      <c r="V47" s="14">
        <f t="shared" si="14"/>
        <v>0.11768461217207082</v>
      </c>
      <c r="W47" s="14">
        <f t="shared" si="15"/>
        <v>0.1461542633437474</v>
      </c>
      <c r="X47" s="14">
        <f t="shared" si="16"/>
        <v>-1.5219373706889638E-2</v>
      </c>
      <c r="Y47" s="14">
        <f t="shared" si="17"/>
        <v>0.27905824922270783</v>
      </c>
      <c r="Z47" s="14">
        <f t="shared" si="18"/>
        <v>0.42172059955178154</v>
      </c>
      <c r="AA47" s="14">
        <f t="shared" si="19"/>
        <v>0.52374106033721357</v>
      </c>
      <c r="AB47" s="14">
        <f t="shared" si="20"/>
        <v>-5.4538340111005008E-2</v>
      </c>
      <c r="AC47">
        <f t="shared" si="21"/>
        <v>1</v>
      </c>
      <c r="AD47" s="14">
        <f t="shared" si="22"/>
        <v>0.33426944826532146</v>
      </c>
      <c r="AE47" s="14">
        <f t="shared" si="23"/>
        <v>0.24861950180892856</v>
      </c>
      <c r="AF47" s="181">
        <f>MAX(F$4:F47)</f>
        <v>1054.79</v>
      </c>
      <c r="AG47">
        <f ca="1">MIN(INDIRECT("f"&amp;ROW(AG47)-AH47):F47)</f>
        <v>463.76</v>
      </c>
      <c r="AH47">
        <f t="shared" si="5"/>
        <v>34</v>
      </c>
      <c r="AI47" s="14" t="str">
        <f t="shared" ca="1" si="6"/>
        <v/>
      </c>
      <c r="AJ47" s="14">
        <f t="shared" ca="1" si="7"/>
        <v>0</v>
      </c>
      <c r="AK47" s="181">
        <f>MAX(G$4:G47)</f>
        <v>1599.16</v>
      </c>
      <c r="AL47">
        <f ca="1">MIN(INDIRECT("g"&amp;ROW(AL47)-AM47):G47)</f>
        <v>1081.42</v>
      </c>
      <c r="AM47">
        <f t="shared" si="8"/>
        <v>25</v>
      </c>
      <c r="AN47" s="14" t="str">
        <f t="shared" ca="1" si="9"/>
        <v/>
      </c>
      <c r="AO47" s="14">
        <f t="shared" ca="1" si="10"/>
        <v>0</v>
      </c>
      <c r="AP47" s="193">
        <f t="shared" si="3"/>
        <v>0.23243288590604028</v>
      </c>
    </row>
    <row r="48" spans="1:42">
      <c r="A48" s="177">
        <v>40299</v>
      </c>
      <c r="B48" s="14">
        <v>8.8200000000000001E-2</v>
      </c>
      <c r="C48" s="14">
        <v>9.2100000000000001E-2</v>
      </c>
      <c r="D48" s="14">
        <v>0.45440000000000003</v>
      </c>
      <c r="E48" s="14">
        <v>8.0000000000000004E-4</v>
      </c>
      <c r="F48" s="181">
        <v>729.97</v>
      </c>
      <c r="G48" s="181">
        <v>1421.27</v>
      </c>
      <c r="H48" s="181">
        <v>2104.61</v>
      </c>
      <c r="I48" s="181">
        <v>1027.6500000000001</v>
      </c>
      <c r="J48" s="14">
        <v>1.3511</v>
      </c>
      <c r="K48" s="14">
        <v>0.66569999999999996</v>
      </c>
      <c r="L48" s="14">
        <f t="shared" si="0"/>
        <v>-0.66569999999999996</v>
      </c>
      <c r="M48" s="14">
        <f t="shared" si="1"/>
        <v>2.0167999999999999</v>
      </c>
      <c r="N48" s="14">
        <f t="shared" si="2"/>
        <v>0.68540000000000001</v>
      </c>
      <c r="O48" s="14">
        <f>STDEV(B$5:B48)*SQRT(12)</f>
        <v>0.15128999385621905</v>
      </c>
      <c r="P48" s="14">
        <f>STDEV(C$5:C48)*SQRT(12)</f>
        <v>0.12637640545701867</v>
      </c>
      <c r="Q48" s="181">
        <f t="shared" si="4"/>
        <v>3754.1192417113607</v>
      </c>
      <c r="R48" s="14">
        <f t="shared" si="11"/>
        <v>0.30894061110314186</v>
      </c>
      <c r="S48" s="14">
        <f t="shared" si="12"/>
        <v>0.19895901874441124</v>
      </c>
      <c r="T48" s="14">
        <f t="shared" si="13"/>
        <v>-0.10998159235873062</v>
      </c>
      <c r="U48" s="14">
        <f>AVERAGE($N$5:$N48)</f>
        <v>0.44287500000000024</v>
      </c>
      <c r="V48" s="14">
        <f t="shared" si="14"/>
        <v>7.4925821707789414E-2</v>
      </c>
      <c r="W48" s="14">
        <f t="shared" si="15"/>
        <v>0.13682207314230402</v>
      </c>
      <c r="X48" s="14">
        <f t="shared" si="16"/>
        <v>-1.278887610568219E-2</v>
      </c>
      <c r="Y48" s="14">
        <f t="shared" si="17"/>
        <v>0.22453677095577562</v>
      </c>
      <c r="Z48" s="14">
        <f t="shared" si="18"/>
        <v>0.33369065293339717</v>
      </c>
      <c r="AA48" s="14">
        <f t="shared" si="19"/>
        <v>0.60935263547213059</v>
      </c>
      <c r="AB48" s="14">
        <f t="shared" si="20"/>
        <v>-5.695671159447227E-2</v>
      </c>
      <c r="AC48">
        <f t="shared" si="21"/>
        <v>1</v>
      </c>
      <c r="AD48" s="14">
        <f t="shared" si="22"/>
        <v>0.30894061110314186</v>
      </c>
      <c r="AE48" s="14">
        <f t="shared" si="23"/>
        <v>0.19895901874441124</v>
      </c>
      <c r="AF48" s="181">
        <f>MAX(F$4:F48)</f>
        <v>1054.79</v>
      </c>
      <c r="AG48">
        <f ca="1">MIN(INDIRECT("f"&amp;ROW(AG48)-AH48):F48)</f>
        <v>463.76</v>
      </c>
      <c r="AH48">
        <f t="shared" si="5"/>
        <v>35</v>
      </c>
      <c r="AI48" s="14" t="str">
        <f t="shared" ca="1" si="6"/>
        <v/>
      </c>
      <c r="AJ48" s="14">
        <f t="shared" ca="1" si="7"/>
        <v>0</v>
      </c>
      <c r="AK48" s="181">
        <f>MAX(G$4:G48)</f>
        <v>1599.16</v>
      </c>
      <c r="AL48">
        <f ca="1">MIN(INDIRECT("g"&amp;ROW(AL48)-AM48):G48)</f>
        <v>1081.42</v>
      </c>
      <c r="AM48">
        <f t="shared" si="8"/>
        <v>26</v>
      </c>
      <c r="AN48" s="14" t="str">
        <f t="shared" ca="1" si="9"/>
        <v/>
      </c>
      <c r="AO48" s="14">
        <f t="shared" ca="1" si="10"/>
        <v>0</v>
      </c>
      <c r="AP48" s="193">
        <f t="shared" si="3"/>
        <v>0.20295929097190926</v>
      </c>
    </row>
    <row r="49" spans="1:42">
      <c r="A49" s="177">
        <v>40330</v>
      </c>
      <c r="B49" s="14">
        <v>7.4499999999999997E-2</v>
      </c>
      <c r="C49" s="14">
        <v>2.06E-2</v>
      </c>
      <c r="D49" s="14">
        <v>7.6999999999999999E-2</v>
      </c>
      <c r="E49" s="14">
        <v>8.0000000000000004E-4</v>
      </c>
      <c r="F49" s="181">
        <v>665.59</v>
      </c>
      <c r="G49" s="181">
        <v>1290.3699999999999</v>
      </c>
      <c r="H49" s="181">
        <v>3060.94</v>
      </c>
      <c r="I49" s="181">
        <v>1028.48</v>
      </c>
      <c r="J49" s="14">
        <v>1.2650999999999999</v>
      </c>
      <c r="K49" s="14">
        <v>0.70189999999999997</v>
      </c>
      <c r="L49" s="14">
        <f t="shared" si="0"/>
        <v>-0.70189999999999997</v>
      </c>
      <c r="M49" s="14">
        <f t="shared" si="1"/>
        <v>1.9669999999999999</v>
      </c>
      <c r="N49" s="14">
        <f t="shared" si="2"/>
        <v>0.56319999999999992</v>
      </c>
      <c r="O49" s="14">
        <f>STDEV(B$5:B49)*SQRT(12)</f>
        <v>0.15020657573468413</v>
      </c>
      <c r="P49" s="14">
        <f>STDEV(C$5:C49)*SQRT(12)</f>
        <v>0.12544456846581983</v>
      </c>
      <c r="Q49" s="181">
        <f t="shared" si="4"/>
        <v>3929.8967618748666</v>
      </c>
      <c r="R49" s="14">
        <f t="shared" si="11"/>
        <v>0.13172481806434067</v>
      </c>
      <c r="S49" s="14">
        <f t="shared" si="12"/>
        <v>8.0936867680720948E-3</v>
      </c>
      <c r="T49" s="14">
        <f t="shared" si="13"/>
        <v>-0.12363113129626857</v>
      </c>
      <c r="U49" s="14">
        <f>AVERAGE($N$5:$N49)</f>
        <v>0.44554888888888911</v>
      </c>
      <c r="V49" s="14">
        <f t="shared" si="14"/>
        <v>1.54975712061786E-2</v>
      </c>
      <c r="W49" s="14">
        <f t="shared" si="15"/>
        <v>5.868984632765805E-2</v>
      </c>
      <c r="X49" s="14">
        <f t="shared" si="16"/>
        <v>-6.6093730765764552E-2</v>
      </c>
      <c r="Y49" s="14">
        <f t="shared" si="17"/>
        <v>0.1402811482996012</v>
      </c>
      <c r="Z49" s="14">
        <f t="shared" si="18"/>
        <v>0.11047508089312282</v>
      </c>
      <c r="AA49" s="14">
        <f t="shared" si="19"/>
        <v>0.41837301047973313</v>
      </c>
      <c r="AB49" s="14">
        <f t="shared" si="20"/>
        <v>-0.47115190862714407</v>
      </c>
      <c r="AC49">
        <f t="shared" si="21"/>
        <v>1</v>
      </c>
      <c r="AD49" s="14">
        <f t="shared" si="22"/>
        <v>0.13172481806434067</v>
      </c>
      <c r="AE49" s="14">
        <f t="shared" si="23"/>
        <v>8.0936867680720948E-3</v>
      </c>
      <c r="AF49" s="181">
        <f>MAX(F$4:F49)</f>
        <v>1054.79</v>
      </c>
      <c r="AG49">
        <f ca="1">MIN(INDIRECT("f"&amp;ROW(AG49)-AH49):F49)</f>
        <v>463.76</v>
      </c>
      <c r="AH49">
        <f t="shared" si="5"/>
        <v>36</v>
      </c>
      <c r="AI49" s="14" t="str">
        <f t="shared" ca="1" si="6"/>
        <v/>
      </c>
      <c r="AJ49" s="14">
        <f t="shared" ca="1" si="7"/>
        <v>0</v>
      </c>
      <c r="AK49" s="181">
        <f>MAX(G$4:G49)</f>
        <v>1599.16</v>
      </c>
      <c r="AL49">
        <f ca="1">MIN(INDIRECT("g"&amp;ROW(AL49)-AM49):G49)</f>
        <v>1081.42</v>
      </c>
      <c r="AM49">
        <f t="shared" si="8"/>
        <v>27</v>
      </c>
      <c r="AN49" s="14" t="str">
        <f t="shared" ca="1" si="9"/>
        <v/>
      </c>
      <c r="AO49" s="14">
        <f t="shared" ca="1" si="10"/>
        <v>0</v>
      </c>
      <c r="AP49" s="193">
        <f t="shared" si="3"/>
        <v>0.18023935033480551</v>
      </c>
    </row>
    <row r="50" spans="1:42">
      <c r="A50" s="177">
        <v>40360</v>
      </c>
      <c r="B50" s="14">
        <v>3.5999999999999997E-2</v>
      </c>
      <c r="C50" s="14">
        <v>0.1149</v>
      </c>
      <c r="D50" s="14">
        <v>0.3196</v>
      </c>
      <c r="E50" s="14">
        <v>8.0000000000000004E-4</v>
      </c>
      <c r="F50" s="181">
        <v>616</v>
      </c>
      <c r="G50" s="181">
        <v>1263.79</v>
      </c>
      <c r="H50" s="181">
        <v>3296.63</v>
      </c>
      <c r="I50" s="181">
        <v>1029.3</v>
      </c>
      <c r="J50" s="14">
        <v>1.5089999999999999</v>
      </c>
      <c r="K50" s="14">
        <v>0.55030000000000001</v>
      </c>
      <c r="L50" s="14">
        <f t="shared" si="0"/>
        <v>-0.55030000000000001</v>
      </c>
      <c r="M50" s="14">
        <f t="shared" si="1"/>
        <v>2.0592999999999999</v>
      </c>
      <c r="N50" s="14">
        <f t="shared" si="2"/>
        <v>0.95869999999999989</v>
      </c>
      <c r="O50" s="14">
        <f>STDEV(B$5:B50)*SQRT(12)</f>
        <v>0.14865798603369482</v>
      </c>
      <c r="P50" s="14">
        <f>STDEV(C$5:C50)*SQRT(12)</f>
        <v>0.12950348369775647</v>
      </c>
      <c r="Q50" s="181">
        <f t="shared" si="4"/>
        <v>3969.2090880510532</v>
      </c>
      <c r="R50" s="14">
        <f t="shared" si="11"/>
        <v>6.681445048664747E-2</v>
      </c>
      <c r="S50" s="14">
        <f t="shared" si="12"/>
        <v>-6.0407125438648679E-2</v>
      </c>
      <c r="T50" s="14">
        <f t="shared" si="13"/>
        <v>-0.12722157592529615</v>
      </c>
      <c r="U50" s="14">
        <f>AVERAGE($N$5:$N50)</f>
        <v>0.45670434782608715</v>
      </c>
      <c r="V50" s="14">
        <f t="shared" si="14"/>
        <v>3.35405636466862E-2</v>
      </c>
      <c r="W50" s="14">
        <f t="shared" si="15"/>
        <v>3.0514450034862726E-2</v>
      </c>
      <c r="X50" s="14">
        <f t="shared" si="16"/>
        <v>-0.1244621391201976</v>
      </c>
      <c r="Y50" s="14">
        <f t="shared" si="17"/>
        <v>0.18851715280174652</v>
      </c>
      <c r="Z50" s="14">
        <f t="shared" si="18"/>
        <v>0.17791783478694392</v>
      </c>
      <c r="AA50" s="14">
        <f t="shared" si="19"/>
        <v>0.16186564236387099</v>
      </c>
      <c r="AB50" s="14">
        <f t="shared" si="20"/>
        <v>-0.66021652284918508</v>
      </c>
      <c r="AC50">
        <f t="shared" si="21"/>
        <v>1</v>
      </c>
      <c r="AD50" s="14">
        <f t="shared" si="22"/>
        <v>6.681445048664747E-2</v>
      </c>
      <c r="AE50" s="14">
        <f t="shared" si="23"/>
        <v>-6.0407125438648679E-2</v>
      </c>
      <c r="AF50" s="181">
        <f>MAX(F$4:F50)</f>
        <v>1054.79</v>
      </c>
      <c r="AG50">
        <f ca="1">MIN(INDIRECT("f"&amp;ROW(AG50)-AH50):F50)</f>
        <v>463.76</v>
      </c>
      <c r="AH50">
        <f t="shared" si="5"/>
        <v>37</v>
      </c>
      <c r="AI50" s="14" t="str">
        <f t="shared" ca="1" si="6"/>
        <v/>
      </c>
      <c r="AJ50" s="14">
        <f t="shared" ca="1" si="7"/>
        <v>0</v>
      </c>
      <c r="AK50" s="181">
        <f>MAX(G$4:G50)</f>
        <v>1599.16</v>
      </c>
      <c r="AL50">
        <f ca="1">MIN(INDIRECT("g"&amp;ROW(AL50)-AM50):G50)</f>
        <v>1081.42</v>
      </c>
      <c r="AM50">
        <f t="shared" si="8"/>
        <v>28</v>
      </c>
      <c r="AN50" s="14" t="str">
        <f t="shared" ca="1" si="9"/>
        <v/>
      </c>
      <c r="AO50" s="14">
        <f t="shared" ca="1" si="10"/>
        <v>0</v>
      </c>
      <c r="AP50" s="193">
        <f t="shared" si="3"/>
        <v>0.27421406505542428</v>
      </c>
    </row>
    <row r="51" spans="1:42">
      <c r="A51" s="177">
        <v>40391</v>
      </c>
      <c r="B51" s="14">
        <v>9.1700000000000004E-2</v>
      </c>
      <c r="C51" s="14">
        <v>2.3900000000000001E-2</v>
      </c>
      <c r="D51" s="14">
        <v>0.1085</v>
      </c>
      <c r="E51" s="14">
        <v>8.0000000000000004E-4</v>
      </c>
      <c r="F51" s="181">
        <v>638.17999999999995</v>
      </c>
      <c r="G51" s="181">
        <v>1409</v>
      </c>
      <c r="H51" s="181">
        <v>2243.0300000000002</v>
      </c>
      <c r="I51" s="181">
        <v>1030.1199999999999</v>
      </c>
      <c r="J51" s="14">
        <v>1.5391999999999999</v>
      </c>
      <c r="K51" s="14">
        <v>0.30990000000000001</v>
      </c>
      <c r="L51" s="14">
        <f t="shared" si="0"/>
        <v>-0.30990000000000001</v>
      </c>
      <c r="M51" s="14">
        <f t="shared" si="1"/>
        <v>1.8491</v>
      </c>
      <c r="N51" s="14">
        <f t="shared" si="2"/>
        <v>1.2292999999999998</v>
      </c>
      <c r="O51" s="14">
        <f>STDEV(B$5:B51)*SQRT(12)</f>
        <v>0.14869007980859891</v>
      </c>
      <c r="P51" s="14">
        <f>STDEV(C$5:C51)*SQRT(12)</f>
        <v>0.12847558963587177</v>
      </c>
      <c r="Q51" s="181">
        <f t="shared" si="4"/>
        <v>4215.8491422488069</v>
      </c>
      <c r="R51" s="14">
        <f t="shared" si="11"/>
        <v>4.0109522955815713E-2</v>
      </c>
      <c r="S51" s="14">
        <f t="shared" si="12"/>
        <v>2.4004883827408952E-2</v>
      </c>
      <c r="T51" s="14">
        <f t="shared" si="13"/>
        <v>-1.6104639128406761E-2</v>
      </c>
      <c r="U51" s="14">
        <f>AVERAGE($N$5:$N51)</f>
        <v>0.47314255319148951</v>
      </c>
      <c r="V51" s="14">
        <f t="shared" si="14"/>
        <v>3.0329114470976946E-2</v>
      </c>
      <c r="W51" s="14">
        <f t="shared" si="15"/>
        <v>1.8977522098607306E-2</v>
      </c>
      <c r="X51" s="14">
        <f t="shared" si="16"/>
        <v>-2.5301752742175304E-2</v>
      </c>
      <c r="Y51" s="14">
        <f t="shared" si="17"/>
        <v>7.460838931175956E-2</v>
      </c>
      <c r="Z51" s="14">
        <f t="shared" si="18"/>
        <v>0.40651077915974471</v>
      </c>
      <c r="AA51" s="14">
        <f t="shared" si="19"/>
        <v>0.25436177182846814</v>
      </c>
      <c r="AB51" s="14">
        <f t="shared" si="20"/>
        <v>-0.33912744901178715</v>
      </c>
      <c r="AC51">
        <f t="shared" si="21"/>
        <v>1</v>
      </c>
      <c r="AD51" s="14">
        <f t="shared" si="22"/>
        <v>4.0109522955815713E-2</v>
      </c>
      <c r="AE51" s="14">
        <f t="shared" si="23"/>
        <v>2.4004883827408952E-2</v>
      </c>
      <c r="AF51" s="181">
        <f>MAX(F$4:F51)</f>
        <v>1054.79</v>
      </c>
      <c r="AG51">
        <f ca="1">MIN(INDIRECT("f"&amp;ROW(AG51)-AH51):F51)</f>
        <v>463.76</v>
      </c>
      <c r="AH51">
        <f t="shared" si="5"/>
        <v>38</v>
      </c>
      <c r="AI51" s="14" t="str">
        <f t="shared" ca="1" si="6"/>
        <v/>
      </c>
      <c r="AJ51" s="14">
        <f t="shared" ca="1" si="7"/>
        <v>0</v>
      </c>
      <c r="AK51" s="181">
        <f>MAX(G$4:G51)</f>
        <v>1599.16</v>
      </c>
      <c r="AL51">
        <f ca="1">MIN(INDIRECT("g"&amp;ROW(AL51)-AM51):G51)</f>
        <v>1081.42</v>
      </c>
      <c r="AM51">
        <f t="shared" si="8"/>
        <v>29</v>
      </c>
      <c r="AN51" s="14" t="str">
        <f t="shared" ca="1" si="9"/>
        <v/>
      </c>
      <c r="AO51" s="14">
        <f t="shared" ca="1" si="10"/>
        <v>0</v>
      </c>
      <c r="AP51" s="193">
        <f t="shared" si="3"/>
        <v>0.49667634720877701</v>
      </c>
    </row>
    <row r="52" spans="1:42">
      <c r="A52" s="177">
        <v>40422</v>
      </c>
      <c r="B52" s="14">
        <v>7.7100000000000002E-2</v>
      </c>
      <c r="C52" s="14">
        <v>8.8800000000000004E-2</v>
      </c>
      <c r="D52" s="14">
        <v>9.0200000000000002E-2</v>
      </c>
      <c r="E52" s="14">
        <v>8.0000000000000004E-4</v>
      </c>
      <c r="F52" s="181">
        <v>579.66</v>
      </c>
      <c r="G52" s="181">
        <v>1375.33</v>
      </c>
      <c r="H52" s="181">
        <v>2486.4</v>
      </c>
      <c r="I52" s="181">
        <v>1030.95</v>
      </c>
      <c r="J52" s="14">
        <v>1.6168</v>
      </c>
      <c r="K52" s="14">
        <v>0.81710000000000005</v>
      </c>
      <c r="L52" s="14">
        <f t="shared" si="0"/>
        <v>-0.81710000000000005</v>
      </c>
      <c r="M52" s="14">
        <f t="shared" si="1"/>
        <v>2.4339</v>
      </c>
      <c r="N52" s="14">
        <f t="shared" si="2"/>
        <v>0.79969999999999997</v>
      </c>
      <c r="O52" s="14">
        <f>STDEV(B$5:B52)*SQRT(12)</f>
        <v>0.14777754396389189</v>
      </c>
      <c r="P52" s="14">
        <f>STDEV(C$5:C52)*SQRT(12)</f>
        <v>0.12912914119741903</v>
      </c>
      <c r="Q52" s="181">
        <f t="shared" si="4"/>
        <v>4257.2472253663327</v>
      </c>
      <c r="R52" s="14">
        <f t="shared" si="11"/>
        <v>-7.4602084963042214E-2</v>
      </c>
      <c r="S52" s="14">
        <f t="shared" si="12"/>
        <v>-2.957786299939924E-3</v>
      </c>
      <c r="T52" s="14">
        <f t="shared" si="13"/>
        <v>7.164429866310229E-2</v>
      </c>
      <c r="U52" s="14">
        <f>AVERAGE($N$5:$N52)</f>
        <v>0.47994583333333352</v>
      </c>
      <c r="V52" s="14">
        <f t="shared" si="14"/>
        <v>-2.3854327508953412E-2</v>
      </c>
      <c r="W52" s="14">
        <f t="shared" si="15"/>
        <v>-3.5804959835991447E-2</v>
      </c>
      <c r="X52" s="14">
        <f t="shared" si="16"/>
        <v>5.6701501045004932E-2</v>
      </c>
      <c r="Y52" s="14">
        <f t="shared" si="17"/>
        <v>0.11636078838994979</v>
      </c>
      <c r="Z52" s="14">
        <f t="shared" si="18"/>
        <v>-0.20500314443567089</v>
      </c>
      <c r="AA52" s="14">
        <f t="shared" si="19"/>
        <v>-0.30770640463522297</v>
      </c>
      <c r="AB52" s="14">
        <f t="shared" si="20"/>
        <v>0.48729045092910617</v>
      </c>
      <c r="AC52">
        <f t="shared" si="21"/>
        <v>1</v>
      </c>
      <c r="AD52" s="14">
        <f t="shared" si="22"/>
        <v>-7.4602084963042214E-2</v>
      </c>
      <c r="AE52" s="14">
        <f t="shared" si="23"/>
        <v>-2.957786299939924E-3</v>
      </c>
      <c r="AF52" s="181">
        <f>MAX(F$4:F52)</f>
        <v>1054.79</v>
      </c>
      <c r="AG52">
        <f ca="1">MIN(INDIRECT("f"&amp;ROW(AG52)-AH52):F52)</f>
        <v>463.76</v>
      </c>
      <c r="AH52">
        <f t="shared" si="5"/>
        <v>39</v>
      </c>
      <c r="AI52" s="14" t="str">
        <f t="shared" ca="1" si="6"/>
        <v/>
      </c>
      <c r="AJ52" s="14">
        <f t="shared" ca="1" si="7"/>
        <v>0</v>
      </c>
      <c r="AK52" s="181">
        <f>MAX(G$4:G52)</f>
        <v>1599.16</v>
      </c>
      <c r="AL52">
        <f ca="1">MIN(INDIRECT("g"&amp;ROW(AL52)-AM52):G52)</f>
        <v>1081.42</v>
      </c>
      <c r="AM52">
        <f t="shared" si="8"/>
        <v>30</v>
      </c>
      <c r="AN52" s="14" t="str">
        <f t="shared" ca="1" si="9"/>
        <v/>
      </c>
      <c r="AO52" s="14">
        <f t="shared" ca="1" si="10"/>
        <v>0</v>
      </c>
      <c r="AP52" s="193">
        <f t="shared" si="3"/>
        <v>0.19787051768449393</v>
      </c>
    </row>
    <row r="53" spans="1:42">
      <c r="A53" s="177">
        <v>40452</v>
      </c>
      <c r="B53" s="14">
        <v>2.98E-2</v>
      </c>
      <c r="C53" s="14">
        <v>1.1599999999999999E-2</v>
      </c>
      <c r="D53" s="14">
        <v>0.1055</v>
      </c>
      <c r="E53" s="14">
        <v>8.0000000000000004E-4</v>
      </c>
      <c r="F53" s="181">
        <v>624.35</v>
      </c>
      <c r="G53" s="181">
        <v>1497.46</v>
      </c>
      <c r="H53" s="181">
        <v>2262.12</v>
      </c>
      <c r="I53" s="181">
        <v>1031.77</v>
      </c>
      <c r="J53" s="14">
        <v>1.7341</v>
      </c>
      <c r="K53" s="14">
        <v>0.94020000000000004</v>
      </c>
      <c r="L53" s="14">
        <f t="shared" si="0"/>
        <v>-0.94020000000000004</v>
      </c>
      <c r="M53" s="14">
        <f t="shared" si="1"/>
        <v>2.6743000000000001</v>
      </c>
      <c r="N53" s="14">
        <f t="shared" si="2"/>
        <v>0.79389999999999994</v>
      </c>
      <c r="O53" s="14">
        <f>STDEV(B$5:B53)*SQRT(12)</f>
        <v>0.14655190206885754</v>
      </c>
      <c r="P53" s="14">
        <f>STDEV(C$5:C53)*SQRT(12)</f>
        <v>0.12878906183748523</v>
      </c>
      <c r="Q53" s="181">
        <f t="shared" si="4"/>
        <v>4398.6089101483431</v>
      </c>
      <c r="R53" s="14">
        <f t="shared" si="11"/>
        <v>-2.2130685377772186E-2</v>
      </c>
      <c r="S53" s="14">
        <f t="shared" si="12"/>
        <v>4.9677903251810429E-2</v>
      </c>
      <c r="T53" s="14">
        <f t="shared" si="13"/>
        <v>7.1808588629582615E-2</v>
      </c>
      <c r="U53" s="14">
        <f>AVERAGE($N$5:$N53)</f>
        <v>0.48635306122449001</v>
      </c>
      <c r="V53" s="14">
        <f t="shared" si="14"/>
        <v>-6.8062245409377751E-3</v>
      </c>
      <c r="W53" s="14">
        <f t="shared" si="15"/>
        <v>-1.0763326580475562E-2</v>
      </c>
      <c r="X53" s="14">
        <f t="shared" si="16"/>
        <v>6.724745437322377E-2</v>
      </c>
      <c r="Y53" s="14">
        <f t="shared" si="17"/>
        <v>8.481700549463711E-2</v>
      </c>
      <c r="Z53" s="14">
        <f t="shared" si="18"/>
        <v>-8.0245989601320289E-2</v>
      </c>
      <c r="AA53" s="14">
        <f t="shared" si="19"/>
        <v>-0.12690057280029907</v>
      </c>
      <c r="AB53" s="14">
        <f t="shared" si="20"/>
        <v>0.79285343759838056</v>
      </c>
      <c r="AC53">
        <f t="shared" si="21"/>
        <v>1</v>
      </c>
      <c r="AD53" s="14">
        <f t="shared" si="22"/>
        <v>-2.2130685377772186E-2</v>
      </c>
      <c r="AE53" s="14">
        <f t="shared" si="23"/>
        <v>4.9677903251810429E-2</v>
      </c>
      <c r="AF53" s="181">
        <f>MAX(F$4:F53)</f>
        <v>1054.79</v>
      </c>
      <c r="AG53">
        <f ca="1">MIN(INDIRECT("f"&amp;ROW(AG53)-AH53):F53)</f>
        <v>463.76</v>
      </c>
      <c r="AH53">
        <f t="shared" si="5"/>
        <v>40</v>
      </c>
      <c r="AI53" s="14" t="str">
        <f t="shared" ca="1" si="6"/>
        <v/>
      </c>
      <c r="AJ53" s="14">
        <f t="shared" ca="1" si="7"/>
        <v>0</v>
      </c>
      <c r="AK53" s="181">
        <f>MAX(G$4:G53)</f>
        <v>1599.16</v>
      </c>
      <c r="AL53">
        <f ca="1">MIN(INDIRECT("g"&amp;ROW(AL53)-AM53):G53)</f>
        <v>1081.42</v>
      </c>
      <c r="AM53">
        <f t="shared" si="8"/>
        <v>31</v>
      </c>
      <c r="AN53" s="14" t="str">
        <f t="shared" ca="1" si="9"/>
        <v/>
      </c>
      <c r="AO53" s="14">
        <f t="shared" ca="1" si="10"/>
        <v>0</v>
      </c>
      <c r="AP53" s="193">
        <f t="shared" si="3"/>
        <v>0.18443948096149754</v>
      </c>
    </row>
    <row r="54" spans="1:42">
      <c r="A54" s="177">
        <v>40483</v>
      </c>
      <c r="B54" s="14">
        <v>8.2000000000000007E-3</v>
      </c>
      <c r="C54" s="14">
        <v>5.9299999999999999E-2</v>
      </c>
      <c r="D54" s="14">
        <v>0.1104</v>
      </c>
      <c r="E54" s="14">
        <v>8.0000000000000004E-4</v>
      </c>
      <c r="F54" s="181">
        <v>642.96</v>
      </c>
      <c r="G54" s="181">
        <v>1514.83</v>
      </c>
      <c r="H54" s="181">
        <v>2023.47</v>
      </c>
      <c r="I54" s="181">
        <v>1032.5999999999999</v>
      </c>
      <c r="J54" s="14">
        <v>1.3951</v>
      </c>
      <c r="K54" s="14">
        <v>0.70799999999999996</v>
      </c>
      <c r="L54" s="14">
        <f t="shared" si="0"/>
        <v>-0.70799999999999996</v>
      </c>
      <c r="M54" s="14">
        <f t="shared" si="1"/>
        <v>2.1031</v>
      </c>
      <c r="N54" s="14">
        <f t="shared" si="2"/>
        <v>0.68710000000000004</v>
      </c>
      <c r="O54" s="14">
        <f>STDEV(B$5:B54)*SQRT(12)</f>
        <v>0.14642041493659308</v>
      </c>
      <c r="P54" s="14">
        <f>STDEV(C$5:C54)*SQRT(12)</f>
        <v>0.12770297188621507</v>
      </c>
      <c r="Q54" s="181">
        <f t="shared" si="4"/>
        <v>4422.8701736915509</v>
      </c>
      <c r="R54" s="14">
        <f t="shared" si="11"/>
        <v>6.4045278522490312E-2</v>
      </c>
      <c r="S54" s="14">
        <f t="shared" si="12"/>
        <v>0.10059794967922864</v>
      </c>
      <c r="T54" s="14">
        <f t="shared" si="13"/>
        <v>3.6552671156738326E-2</v>
      </c>
      <c r="U54" s="14">
        <f>AVERAGE($N$5:$N54)</f>
        <v>0.49036800000000019</v>
      </c>
      <c r="V54" s="14">
        <f t="shared" si="14"/>
        <v>1.2599755734286554E-2</v>
      </c>
      <c r="W54" s="14">
        <f t="shared" si="15"/>
        <v>3.1405755138516539E-2</v>
      </c>
      <c r="X54" s="14">
        <f t="shared" si="16"/>
        <v>5.6592438806425546E-2</v>
      </c>
      <c r="Y54" s="14">
        <f t="shared" si="17"/>
        <v>0.10059794967922864</v>
      </c>
      <c r="Z54" s="14">
        <f t="shared" si="18"/>
        <v>0.12524863354037263</v>
      </c>
      <c r="AA54" s="14">
        <f t="shared" si="19"/>
        <v>0.31219080745341637</v>
      </c>
      <c r="AB54" s="14">
        <f t="shared" si="20"/>
        <v>0.56256055900621105</v>
      </c>
      <c r="AC54">
        <f t="shared" si="21"/>
        <v>1</v>
      </c>
      <c r="AD54" s="14">
        <f t="shared" si="22"/>
        <v>6.4045278522490312E-2</v>
      </c>
      <c r="AE54" s="14">
        <f t="shared" si="23"/>
        <v>0.10059794967922864</v>
      </c>
      <c r="AF54" s="181">
        <f>MAX(F$4:F54)</f>
        <v>1054.79</v>
      </c>
      <c r="AG54">
        <f ca="1">MIN(INDIRECT("f"&amp;ROW(AG54)-AH54):F54)</f>
        <v>463.76</v>
      </c>
      <c r="AH54">
        <f t="shared" si="5"/>
        <v>41</v>
      </c>
      <c r="AI54" s="14" t="str">
        <f t="shared" ca="1" si="6"/>
        <v/>
      </c>
      <c r="AJ54" s="14">
        <f t="shared" ca="1" si="7"/>
        <v>0</v>
      </c>
      <c r="AK54" s="181">
        <f>MAX(G$4:G54)</f>
        <v>1599.16</v>
      </c>
      <c r="AL54">
        <f ca="1">MIN(INDIRECT("g"&amp;ROW(AL54)-AM54):G54)</f>
        <v>1081.42</v>
      </c>
      <c r="AM54">
        <f t="shared" si="8"/>
        <v>32</v>
      </c>
      <c r="AN54" s="14" t="str">
        <f t="shared" ca="1" si="9"/>
        <v/>
      </c>
      <c r="AO54" s="14">
        <f t="shared" ca="1" si="10"/>
        <v>0</v>
      </c>
      <c r="AP54" s="193">
        <f t="shared" si="3"/>
        <v>0.19704802259887005</v>
      </c>
    </row>
    <row r="55" spans="1:42">
      <c r="A55" s="177"/>
      <c r="B55" s="14"/>
      <c r="C55" s="14"/>
      <c r="D55" s="14"/>
      <c r="E55" s="14"/>
      <c r="F55" s="181"/>
      <c r="G55" s="181"/>
      <c r="H55" s="181"/>
      <c r="I55" s="181"/>
      <c r="J55" s="14"/>
      <c r="K55" s="14"/>
      <c r="L55" s="14"/>
      <c r="M55" s="14"/>
      <c r="N55" s="14"/>
      <c r="O55" s="14"/>
      <c r="P55" s="14"/>
      <c r="Q55" s="181"/>
      <c r="R55" s="14"/>
      <c r="S55" s="14"/>
      <c r="T55" s="14"/>
      <c r="U55" s="14"/>
      <c r="V55" s="14"/>
      <c r="W55" s="14"/>
      <c r="X55" s="14"/>
      <c r="Y55" s="14"/>
      <c r="Z55" s="14"/>
      <c r="AA55" s="14"/>
      <c r="AB55" s="14"/>
      <c r="AD55" s="14"/>
      <c r="AE55" s="14"/>
      <c r="AF55" s="181"/>
      <c r="AI55" s="14"/>
      <c r="AJ55" s="14"/>
      <c r="AK55" s="181"/>
      <c r="AN55" s="14"/>
      <c r="AO55" s="14"/>
      <c r="AP55" s="193"/>
    </row>
    <row r="56" spans="1:42">
      <c r="A56" s="177"/>
      <c r="B56" s="14"/>
      <c r="C56" s="14"/>
      <c r="D56" s="14"/>
      <c r="E56" s="14"/>
      <c r="F56" s="181"/>
      <c r="G56" s="181"/>
      <c r="H56" s="181"/>
      <c r="I56" s="181"/>
      <c r="J56" s="14"/>
      <c r="K56" s="14"/>
      <c r="L56" s="14"/>
      <c r="M56" s="14"/>
      <c r="N56" s="14"/>
      <c r="O56" s="14"/>
      <c r="P56" s="14"/>
      <c r="Q56" s="181"/>
      <c r="R56" s="14"/>
      <c r="S56" s="14"/>
      <c r="T56" s="14"/>
      <c r="U56" s="14"/>
      <c r="V56" s="14"/>
      <c r="W56" s="14"/>
      <c r="X56" s="14"/>
      <c r="Y56" s="14"/>
      <c r="Z56" s="14"/>
      <c r="AA56" s="14"/>
      <c r="AB56" s="14"/>
      <c r="AD56" s="14"/>
      <c r="AE56" s="14"/>
      <c r="AF56" s="181"/>
      <c r="AI56" s="14"/>
      <c r="AJ56" s="14"/>
      <c r="AK56" s="181"/>
      <c r="AN56" s="14"/>
      <c r="AO56" s="14"/>
      <c r="AP56" s="193"/>
    </row>
    <row r="57" spans="1:42">
      <c r="A57" s="177"/>
      <c r="B57" s="14"/>
      <c r="C57" s="14"/>
      <c r="D57" s="14"/>
      <c r="E57" s="14"/>
      <c r="F57" s="181"/>
      <c r="G57" s="181"/>
      <c r="H57" s="181"/>
      <c r="I57" s="181"/>
      <c r="J57" s="14"/>
      <c r="K57" s="14"/>
      <c r="L57" s="14"/>
      <c r="M57" s="14"/>
      <c r="N57" s="14"/>
      <c r="O57" s="14"/>
      <c r="P57" s="14"/>
      <c r="Q57" s="181"/>
      <c r="R57" s="14"/>
      <c r="S57" s="14"/>
      <c r="T57" s="14"/>
      <c r="U57" s="14"/>
      <c r="V57" s="14"/>
      <c r="W57" s="14"/>
      <c r="X57" s="14"/>
      <c r="Y57" s="14"/>
      <c r="Z57" s="14"/>
      <c r="AA57" s="14"/>
      <c r="AB57" s="14"/>
      <c r="AD57" s="14"/>
      <c r="AE57" s="14"/>
      <c r="AF57" s="181"/>
      <c r="AI57" s="14"/>
      <c r="AJ57" s="14"/>
      <c r="AK57" s="181"/>
      <c r="AN57" s="14"/>
      <c r="AO57" s="14"/>
      <c r="AP57" s="193"/>
    </row>
    <row r="58" spans="1:42">
      <c r="A58" s="177"/>
      <c r="B58" s="14"/>
      <c r="C58" s="14"/>
      <c r="D58" s="14"/>
      <c r="E58" s="14"/>
      <c r="F58" s="181"/>
      <c r="G58" s="181"/>
      <c r="H58" s="181"/>
      <c r="I58" s="181"/>
      <c r="J58" s="14"/>
      <c r="K58" s="14"/>
      <c r="L58" s="14"/>
      <c r="M58" s="14"/>
      <c r="N58" s="14"/>
      <c r="O58" s="14"/>
      <c r="P58" s="14"/>
      <c r="Q58" s="181"/>
      <c r="R58" s="14"/>
      <c r="S58" s="14"/>
      <c r="T58" s="14"/>
      <c r="U58" s="14"/>
      <c r="V58" s="14"/>
      <c r="W58" s="14"/>
      <c r="X58" s="14"/>
      <c r="Y58" s="14"/>
      <c r="Z58" s="14"/>
      <c r="AA58" s="14"/>
      <c r="AB58" s="14"/>
      <c r="AD58" s="14"/>
      <c r="AE58" s="14"/>
      <c r="AF58" s="181"/>
      <c r="AI58" s="14"/>
      <c r="AJ58" s="14"/>
      <c r="AK58" s="181"/>
      <c r="AN58" s="14"/>
      <c r="AO58" s="14"/>
      <c r="AP58" s="193"/>
    </row>
    <row r="59" spans="1:42">
      <c r="A59" s="177"/>
      <c r="B59" s="14"/>
      <c r="C59" s="14"/>
      <c r="D59" s="14"/>
      <c r="E59" s="14"/>
      <c r="F59" s="181"/>
      <c r="G59" s="181"/>
      <c r="H59" s="181"/>
      <c r="I59" s="181"/>
      <c r="J59" s="14"/>
      <c r="K59" s="14"/>
      <c r="L59" s="14"/>
      <c r="M59" s="14"/>
      <c r="N59" s="14"/>
      <c r="O59" s="14"/>
      <c r="P59" s="14"/>
      <c r="Q59" s="181"/>
      <c r="R59" s="14"/>
      <c r="S59" s="14"/>
      <c r="T59" s="14"/>
      <c r="U59" s="14"/>
      <c r="V59" s="14"/>
      <c r="W59" s="14"/>
      <c r="X59" s="14"/>
      <c r="Y59" s="14"/>
      <c r="Z59" s="14"/>
      <c r="AA59" s="14"/>
      <c r="AB59" s="14"/>
      <c r="AD59" s="14"/>
      <c r="AE59" s="14"/>
      <c r="AF59" s="181"/>
      <c r="AI59" s="14"/>
      <c r="AJ59" s="14"/>
      <c r="AK59" s="181"/>
      <c r="AN59" s="14"/>
      <c r="AO59" s="14"/>
      <c r="AP59" s="193"/>
    </row>
    <row r="60" spans="1:42">
      <c r="A60" s="177"/>
      <c r="B60" s="14"/>
      <c r="C60" s="14"/>
      <c r="D60" s="14"/>
      <c r="E60" s="14"/>
      <c r="F60" s="181"/>
      <c r="G60" s="181"/>
      <c r="H60" s="181"/>
      <c r="I60" s="181"/>
      <c r="J60" s="14"/>
      <c r="K60" s="14"/>
      <c r="L60" s="14"/>
      <c r="M60" s="14"/>
      <c r="N60" s="14"/>
      <c r="O60" s="14"/>
      <c r="P60" s="14"/>
      <c r="Q60" s="181"/>
      <c r="R60" s="14"/>
      <c r="S60" s="14"/>
      <c r="T60" s="14"/>
      <c r="U60" s="14"/>
      <c r="V60" s="14"/>
      <c r="W60" s="14"/>
      <c r="X60" s="14"/>
      <c r="Y60" s="14"/>
      <c r="Z60" s="14"/>
      <c r="AA60" s="14"/>
      <c r="AB60" s="14"/>
      <c r="AD60" s="14"/>
      <c r="AE60" s="14"/>
      <c r="AF60" s="181"/>
      <c r="AI60" s="14"/>
      <c r="AJ60" s="14"/>
      <c r="AK60" s="181"/>
      <c r="AN60" s="14"/>
      <c r="AO60" s="14"/>
      <c r="AP60" s="193"/>
    </row>
    <row r="61" spans="1:42">
      <c r="A61" s="177"/>
      <c r="B61" s="14"/>
      <c r="C61" s="14"/>
      <c r="D61" s="14"/>
      <c r="E61" s="14"/>
      <c r="F61" s="181"/>
      <c r="G61" s="181"/>
      <c r="H61" s="181"/>
      <c r="I61" s="181"/>
      <c r="J61" s="14"/>
      <c r="K61" s="14"/>
      <c r="L61" s="14"/>
      <c r="M61" s="14"/>
      <c r="N61" s="14"/>
      <c r="O61" s="14"/>
      <c r="P61" s="14"/>
      <c r="Q61" s="181"/>
      <c r="R61" s="14"/>
      <c r="S61" s="14"/>
      <c r="T61" s="14"/>
      <c r="U61" s="14"/>
      <c r="V61" s="14"/>
      <c r="W61" s="14"/>
      <c r="X61" s="14"/>
      <c r="Y61" s="14"/>
      <c r="Z61" s="14"/>
      <c r="AA61" s="14"/>
      <c r="AB61" s="14"/>
      <c r="AD61" s="14"/>
      <c r="AE61" s="14"/>
      <c r="AF61" s="181"/>
      <c r="AI61" s="14"/>
      <c r="AJ61" s="14"/>
      <c r="AK61" s="181"/>
      <c r="AN61" s="14"/>
      <c r="AO61" s="14"/>
      <c r="AP61" s="193"/>
    </row>
    <row r="62" spans="1:42">
      <c r="A62" s="177"/>
      <c r="B62" s="14"/>
      <c r="C62" s="14"/>
      <c r="D62" s="14"/>
      <c r="E62" s="14"/>
      <c r="F62" s="181"/>
      <c r="G62" s="181"/>
      <c r="H62" s="181"/>
      <c r="I62" s="181"/>
      <c r="J62" s="14"/>
      <c r="K62" s="14"/>
      <c r="L62" s="14"/>
      <c r="M62" s="14"/>
      <c r="N62" s="14"/>
      <c r="O62" s="14"/>
      <c r="P62" s="14"/>
      <c r="Q62" s="181"/>
      <c r="R62" s="14"/>
      <c r="S62" s="14"/>
      <c r="T62" s="14"/>
      <c r="U62" s="14"/>
      <c r="V62" s="14"/>
      <c r="W62" s="14"/>
      <c r="X62" s="14"/>
      <c r="Y62" s="14"/>
      <c r="Z62" s="14"/>
      <c r="AA62" s="14"/>
      <c r="AB62" s="14"/>
      <c r="AD62" s="14"/>
      <c r="AE62" s="14"/>
      <c r="AF62" s="181"/>
      <c r="AI62" s="14"/>
      <c r="AJ62" s="14"/>
      <c r="AK62" s="181"/>
      <c r="AN62" s="14"/>
      <c r="AO62" s="14"/>
      <c r="AP62" s="193"/>
    </row>
    <row r="63" spans="1:42">
      <c r="A63" s="177"/>
      <c r="B63" s="14"/>
      <c r="C63" s="14"/>
      <c r="D63" s="14"/>
      <c r="E63" s="14"/>
      <c r="F63" s="181"/>
      <c r="G63" s="181"/>
      <c r="H63" s="181"/>
      <c r="I63" s="181"/>
      <c r="J63" s="14"/>
      <c r="K63" s="14"/>
      <c r="L63" s="14"/>
      <c r="M63" s="14"/>
      <c r="N63" s="14"/>
      <c r="O63" s="14"/>
      <c r="P63" s="14"/>
      <c r="Q63" s="181"/>
      <c r="R63" s="14"/>
      <c r="S63" s="14"/>
      <c r="T63" s="14"/>
      <c r="U63" s="14"/>
      <c r="V63" s="14"/>
      <c r="W63" s="14"/>
      <c r="X63" s="14"/>
      <c r="Y63" s="14"/>
      <c r="Z63" s="14"/>
      <c r="AA63" s="14"/>
      <c r="AB63" s="14"/>
      <c r="AD63" s="14"/>
      <c r="AE63" s="14"/>
      <c r="AF63" s="181"/>
      <c r="AI63" s="14"/>
      <c r="AJ63" s="14"/>
      <c r="AK63" s="181"/>
      <c r="AN63" s="14"/>
      <c r="AO63" s="14"/>
      <c r="AP63" s="193"/>
    </row>
    <row r="64" spans="1:42">
      <c r="A64" s="177"/>
      <c r="B64" s="14"/>
      <c r="C64" s="14"/>
      <c r="D64" s="14"/>
      <c r="E64" s="14"/>
      <c r="F64" s="181"/>
      <c r="G64" s="181"/>
      <c r="H64" s="181"/>
      <c r="I64" s="181"/>
      <c r="J64" s="14"/>
      <c r="K64" s="14"/>
      <c r="L64" s="14"/>
      <c r="M64" s="14"/>
      <c r="N64" s="14"/>
      <c r="O64" s="14"/>
      <c r="P64" s="14"/>
      <c r="Q64" s="181"/>
      <c r="R64" s="14"/>
      <c r="S64" s="14"/>
      <c r="T64" s="14"/>
      <c r="U64" s="14"/>
      <c r="V64" s="14"/>
      <c r="W64" s="14"/>
      <c r="X64" s="14"/>
      <c r="Y64" s="14"/>
      <c r="Z64" s="14"/>
      <c r="AA64" s="14"/>
      <c r="AB64" s="14"/>
      <c r="AD64" s="14"/>
      <c r="AE64" s="14"/>
      <c r="AF64" s="181"/>
      <c r="AI64" s="14"/>
      <c r="AJ64" s="14"/>
      <c r="AK64" s="181"/>
      <c r="AN64" s="14"/>
      <c r="AO64" s="14"/>
      <c r="AP64" s="193"/>
    </row>
    <row r="65" spans="1:42">
      <c r="A65" s="177"/>
      <c r="B65" s="14"/>
      <c r="C65" s="14"/>
      <c r="D65" s="14"/>
      <c r="E65" s="14"/>
      <c r="F65" s="181"/>
      <c r="G65" s="181"/>
      <c r="H65" s="181"/>
      <c r="I65" s="181"/>
      <c r="J65" s="14"/>
      <c r="K65" s="14"/>
      <c r="L65" s="14"/>
      <c r="M65" s="14"/>
      <c r="N65" s="14"/>
      <c r="O65" s="14"/>
      <c r="P65" s="14"/>
      <c r="Q65" s="181"/>
      <c r="R65" s="14"/>
      <c r="S65" s="14"/>
      <c r="T65" s="14"/>
      <c r="U65" s="14"/>
      <c r="V65" s="14"/>
      <c r="W65" s="14"/>
      <c r="X65" s="14"/>
      <c r="Y65" s="14"/>
      <c r="Z65" s="14"/>
      <c r="AA65" s="14"/>
      <c r="AB65" s="14"/>
      <c r="AD65" s="14"/>
      <c r="AE65" s="14"/>
      <c r="AF65" s="181"/>
      <c r="AI65" s="14"/>
      <c r="AJ65" s="14"/>
      <c r="AK65" s="181"/>
      <c r="AN65" s="14"/>
      <c r="AO65" s="14"/>
      <c r="AP65" s="193"/>
    </row>
    <row r="66" spans="1:42">
      <c r="A66" s="177"/>
      <c r="B66" s="14"/>
      <c r="C66" s="14"/>
      <c r="D66" s="14"/>
      <c r="E66" s="14"/>
      <c r="F66" s="181"/>
      <c r="G66" s="181"/>
      <c r="H66" s="181"/>
      <c r="I66" s="181"/>
      <c r="J66" s="14"/>
      <c r="K66" s="14"/>
      <c r="L66" s="14"/>
      <c r="M66" s="14"/>
      <c r="N66" s="14"/>
      <c r="O66" s="14"/>
      <c r="P66" s="14"/>
      <c r="Q66" s="181"/>
      <c r="R66" s="14"/>
      <c r="S66" s="14"/>
      <c r="T66" s="14"/>
      <c r="U66" s="14"/>
      <c r="V66" s="14"/>
      <c r="W66" s="14"/>
      <c r="X66" s="14"/>
      <c r="Y66" s="14"/>
      <c r="Z66" s="14"/>
      <c r="AA66" s="14"/>
      <c r="AB66" s="14"/>
      <c r="AD66" s="14"/>
      <c r="AE66" s="14"/>
      <c r="AF66" s="181"/>
      <c r="AI66" s="14"/>
      <c r="AJ66" s="14"/>
      <c r="AK66" s="181"/>
      <c r="AN66" s="14"/>
      <c r="AO66" s="14"/>
      <c r="AP66" s="193"/>
    </row>
    <row r="67" spans="1:42">
      <c r="A67" s="177"/>
      <c r="B67" s="14"/>
      <c r="C67" s="14"/>
      <c r="D67" s="14"/>
      <c r="E67" s="14"/>
      <c r="F67" s="181"/>
      <c r="G67" s="181"/>
      <c r="H67" s="181"/>
      <c r="I67" s="181"/>
      <c r="J67" s="14"/>
      <c r="K67" s="14"/>
      <c r="L67" s="14"/>
      <c r="M67" s="14"/>
      <c r="N67" s="14"/>
      <c r="O67" s="14"/>
      <c r="P67" s="14"/>
      <c r="Q67" s="181"/>
      <c r="R67" s="14"/>
      <c r="S67" s="14"/>
      <c r="T67" s="14"/>
      <c r="U67" s="14"/>
      <c r="V67" s="14"/>
      <c r="W67" s="14"/>
      <c r="X67" s="14"/>
      <c r="Y67" s="14"/>
      <c r="Z67" s="14"/>
      <c r="AA67" s="14"/>
      <c r="AB67" s="14"/>
      <c r="AD67" s="14"/>
      <c r="AE67" s="14"/>
      <c r="AF67" s="181"/>
      <c r="AI67" s="14"/>
      <c r="AJ67" s="14"/>
      <c r="AK67" s="181"/>
      <c r="AN67" s="14"/>
      <c r="AO67" s="14"/>
      <c r="AP67" s="193"/>
    </row>
    <row r="68" spans="1:42">
      <c r="A68" s="177"/>
      <c r="B68" s="14"/>
      <c r="C68" s="14"/>
      <c r="D68" s="14"/>
      <c r="E68" s="14"/>
      <c r="F68" s="181"/>
      <c r="G68" s="181"/>
      <c r="H68" s="181"/>
      <c r="I68" s="181"/>
      <c r="J68" s="14"/>
      <c r="K68" s="14"/>
      <c r="L68" s="14"/>
      <c r="M68" s="14"/>
      <c r="N68" s="14"/>
      <c r="O68" s="14"/>
      <c r="P68" s="14"/>
      <c r="Q68" s="181"/>
      <c r="R68" s="14"/>
      <c r="S68" s="14"/>
      <c r="T68" s="14"/>
      <c r="U68" s="14"/>
      <c r="V68" s="14"/>
      <c r="W68" s="14"/>
      <c r="X68" s="14"/>
      <c r="Y68" s="14"/>
      <c r="Z68" s="14"/>
      <c r="AA68" s="14"/>
      <c r="AB68" s="14"/>
      <c r="AD68" s="14"/>
      <c r="AE68" s="14"/>
      <c r="AF68" s="181"/>
      <c r="AI68" s="14"/>
      <c r="AJ68" s="14"/>
      <c r="AK68" s="181"/>
      <c r="AN68" s="14"/>
      <c r="AO68" s="14"/>
      <c r="AP68" s="193"/>
    </row>
    <row r="69" spans="1:42">
      <c r="A69" s="177"/>
      <c r="B69" s="14"/>
      <c r="C69" s="14"/>
      <c r="D69" s="14"/>
      <c r="E69" s="14"/>
      <c r="F69" s="181"/>
      <c r="G69" s="181"/>
      <c r="H69" s="181"/>
      <c r="I69" s="181"/>
      <c r="J69" s="14"/>
      <c r="K69" s="14"/>
      <c r="L69" s="14"/>
      <c r="M69" s="14"/>
      <c r="N69" s="14"/>
      <c r="O69" s="14"/>
      <c r="P69" s="14"/>
      <c r="Q69" s="181"/>
      <c r="R69" s="14"/>
      <c r="S69" s="14"/>
      <c r="T69" s="14"/>
      <c r="U69" s="14"/>
      <c r="V69" s="14"/>
      <c r="W69" s="14"/>
      <c r="X69" s="14"/>
      <c r="Y69" s="14"/>
      <c r="Z69" s="14"/>
      <c r="AA69" s="14"/>
      <c r="AB69" s="14"/>
      <c r="AD69" s="14"/>
      <c r="AE69" s="14"/>
      <c r="AF69" s="181"/>
      <c r="AI69" s="14"/>
      <c r="AJ69" s="14"/>
      <c r="AK69" s="181"/>
      <c r="AN69" s="14"/>
      <c r="AO69" s="14"/>
      <c r="AP69" s="193"/>
    </row>
    <row r="70" spans="1:42">
      <c r="A70" s="177"/>
      <c r="B70" s="14"/>
      <c r="C70" s="14"/>
      <c r="D70" s="14"/>
      <c r="E70" s="14"/>
      <c r="F70" s="181"/>
      <c r="G70" s="181"/>
      <c r="H70" s="181"/>
      <c r="I70" s="181"/>
      <c r="J70" s="14"/>
      <c r="K70" s="14"/>
      <c r="L70" s="14"/>
      <c r="M70" s="14"/>
      <c r="N70" s="14"/>
      <c r="O70" s="14"/>
      <c r="P70" s="14"/>
      <c r="Q70" s="181"/>
      <c r="R70" s="14"/>
      <c r="S70" s="14"/>
      <c r="T70" s="14"/>
      <c r="U70" s="14"/>
      <c r="V70" s="14"/>
      <c r="W70" s="14"/>
      <c r="X70" s="14"/>
      <c r="Y70" s="14"/>
      <c r="Z70" s="14"/>
      <c r="AA70" s="14"/>
      <c r="AB70" s="14"/>
      <c r="AD70" s="14"/>
      <c r="AE70" s="14"/>
      <c r="AF70" s="181"/>
      <c r="AI70" s="14"/>
      <c r="AJ70" s="14"/>
      <c r="AK70" s="181"/>
      <c r="AN70" s="14"/>
      <c r="AO70" s="14"/>
      <c r="AP70" s="193"/>
    </row>
    <row r="71" spans="1:42">
      <c r="A71" s="177"/>
      <c r="B71" s="14"/>
      <c r="C71" s="14"/>
      <c r="D71" s="14"/>
      <c r="E71" s="14"/>
      <c r="F71" s="181"/>
      <c r="G71" s="181"/>
      <c r="H71" s="181"/>
      <c r="I71" s="181"/>
      <c r="J71" s="14"/>
      <c r="K71" s="14"/>
      <c r="L71" s="14"/>
      <c r="M71" s="14"/>
      <c r="N71" s="14"/>
      <c r="O71" s="14"/>
      <c r="P71" s="14"/>
      <c r="Q71" s="181"/>
      <c r="R71" s="14"/>
      <c r="S71" s="14"/>
      <c r="T71" s="14"/>
      <c r="U71" s="14"/>
      <c r="V71" s="14"/>
      <c r="W71" s="14"/>
      <c r="X71" s="14"/>
      <c r="Y71" s="14"/>
      <c r="Z71" s="14"/>
      <c r="AA71" s="14"/>
      <c r="AB71" s="14"/>
      <c r="AD71" s="14"/>
      <c r="AE71" s="14"/>
      <c r="AF71" s="181"/>
      <c r="AI71" s="14"/>
      <c r="AJ71" s="14"/>
      <c r="AK71" s="181"/>
      <c r="AN71" s="14"/>
      <c r="AO71" s="14"/>
      <c r="AP71" s="193"/>
    </row>
    <row r="72" spans="1:42">
      <c r="A72" s="177"/>
      <c r="B72" s="14"/>
      <c r="C72" s="14"/>
      <c r="D72" s="14"/>
      <c r="E72" s="14"/>
      <c r="F72" s="181"/>
      <c r="G72" s="181"/>
      <c r="H72" s="181"/>
      <c r="I72" s="181"/>
      <c r="J72" s="14"/>
      <c r="K72" s="14"/>
      <c r="L72" s="14"/>
      <c r="M72" s="14"/>
      <c r="N72" s="14"/>
      <c r="O72" s="14"/>
      <c r="P72" s="14"/>
      <c r="Q72" s="181"/>
      <c r="R72" s="14"/>
      <c r="S72" s="14"/>
      <c r="T72" s="14"/>
      <c r="U72" s="14"/>
      <c r="V72" s="14"/>
      <c r="W72" s="14"/>
      <c r="X72" s="14"/>
      <c r="Y72" s="14"/>
      <c r="Z72" s="14"/>
      <c r="AA72" s="14"/>
      <c r="AB72" s="14"/>
      <c r="AD72" s="14"/>
      <c r="AE72" s="14"/>
      <c r="AF72" s="181"/>
      <c r="AI72" s="14"/>
      <c r="AJ72" s="14"/>
      <c r="AK72" s="181"/>
      <c r="AN72" s="14"/>
      <c r="AO72" s="14"/>
      <c r="AP72" s="193"/>
    </row>
    <row r="73" spans="1:42">
      <c r="A73" s="177"/>
      <c r="B73" s="14"/>
      <c r="C73" s="14"/>
      <c r="D73" s="14"/>
      <c r="E73" s="14"/>
      <c r="F73" s="181"/>
      <c r="G73" s="181"/>
      <c r="H73" s="181"/>
      <c r="I73" s="181"/>
      <c r="J73" s="14"/>
      <c r="K73" s="14"/>
      <c r="L73" s="14"/>
      <c r="M73" s="14"/>
      <c r="N73" s="14"/>
      <c r="O73" s="14"/>
      <c r="P73" s="14"/>
      <c r="Q73" s="181"/>
      <c r="R73" s="14"/>
      <c r="S73" s="14"/>
      <c r="T73" s="14"/>
      <c r="U73" s="14"/>
      <c r="V73" s="14"/>
      <c r="W73" s="14"/>
      <c r="X73" s="14"/>
      <c r="Y73" s="14"/>
      <c r="Z73" s="14"/>
      <c r="AA73" s="14"/>
      <c r="AB73" s="14"/>
      <c r="AD73" s="14"/>
      <c r="AE73" s="14"/>
      <c r="AF73" s="181"/>
      <c r="AI73" s="14"/>
      <c r="AJ73" s="14"/>
      <c r="AK73" s="181"/>
      <c r="AN73" s="14"/>
      <c r="AO73" s="14"/>
      <c r="AP73" s="193"/>
    </row>
    <row r="74" spans="1:42">
      <c r="A74" s="177"/>
      <c r="B74" s="14"/>
      <c r="C74" s="14"/>
      <c r="D74" s="14"/>
      <c r="E74" s="14"/>
      <c r="F74" s="181"/>
      <c r="G74" s="181"/>
      <c r="H74" s="181"/>
      <c r="I74" s="181"/>
      <c r="J74" s="14"/>
      <c r="K74" s="14"/>
      <c r="L74" s="14"/>
      <c r="M74" s="14"/>
      <c r="N74" s="14"/>
      <c r="O74" s="14"/>
      <c r="P74" s="14"/>
      <c r="Q74" s="181"/>
      <c r="R74" s="14"/>
      <c r="S74" s="14"/>
      <c r="T74" s="14"/>
      <c r="U74" s="14"/>
      <c r="V74" s="14"/>
      <c r="W74" s="14"/>
      <c r="X74" s="14"/>
      <c r="Y74" s="14"/>
      <c r="Z74" s="14"/>
      <c r="AA74" s="14"/>
      <c r="AB74" s="14"/>
      <c r="AD74" s="14"/>
      <c r="AE74" s="14"/>
      <c r="AF74" s="181"/>
      <c r="AI74" s="14"/>
      <c r="AJ74" s="14"/>
      <c r="AK74" s="181"/>
      <c r="AN74" s="14"/>
      <c r="AO74" s="14"/>
      <c r="AP74" s="193"/>
    </row>
    <row r="75" spans="1:42">
      <c r="A75" s="177"/>
      <c r="B75" s="14"/>
      <c r="C75" s="14"/>
      <c r="D75" s="14"/>
      <c r="E75" s="14"/>
      <c r="F75" s="181"/>
      <c r="G75" s="181"/>
      <c r="H75" s="181"/>
      <c r="I75" s="181"/>
      <c r="J75" s="14"/>
      <c r="K75" s="14"/>
      <c r="L75" s="14"/>
      <c r="M75" s="14"/>
      <c r="N75" s="14"/>
      <c r="O75" s="14"/>
      <c r="P75" s="14"/>
      <c r="Q75" s="181"/>
      <c r="R75" s="14"/>
      <c r="S75" s="14"/>
      <c r="T75" s="14"/>
      <c r="U75" s="14"/>
      <c r="V75" s="14"/>
      <c r="W75" s="14"/>
      <c r="X75" s="14"/>
      <c r="Y75" s="14"/>
      <c r="Z75" s="14"/>
      <c r="AA75" s="14"/>
      <c r="AB75" s="14"/>
      <c r="AD75" s="14"/>
      <c r="AE75" s="14"/>
      <c r="AF75" s="181"/>
      <c r="AI75" s="14"/>
      <c r="AJ75" s="14"/>
      <c r="AK75" s="181"/>
      <c r="AN75" s="14"/>
      <c r="AO75" s="14"/>
      <c r="AP75" s="193"/>
    </row>
    <row r="76" spans="1:42">
      <c r="A76" s="177"/>
      <c r="B76" s="14"/>
      <c r="C76" s="14"/>
      <c r="D76" s="14"/>
      <c r="E76" s="14"/>
      <c r="F76" s="181"/>
      <c r="G76" s="181"/>
      <c r="H76" s="181"/>
      <c r="I76" s="181"/>
      <c r="J76" s="14"/>
      <c r="K76" s="14"/>
      <c r="L76" s="14"/>
      <c r="M76" s="14"/>
      <c r="N76" s="14"/>
      <c r="O76" s="14"/>
      <c r="P76" s="14"/>
      <c r="Q76" s="181"/>
      <c r="R76" s="14"/>
      <c r="S76" s="14"/>
      <c r="T76" s="14"/>
      <c r="U76" s="14"/>
      <c r="V76" s="14"/>
      <c r="W76" s="14"/>
      <c r="X76" s="14"/>
      <c r="Y76" s="14"/>
      <c r="Z76" s="14"/>
      <c r="AA76" s="14"/>
      <c r="AB76" s="14"/>
      <c r="AD76" s="14"/>
      <c r="AE76" s="14"/>
      <c r="AF76" s="181"/>
      <c r="AI76" s="14"/>
      <c r="AJ76" s="14"/>
      <c r="AK76" s="181"/>
      <c r="AN76" s="14"/>
      <c r="AO76" s="14"/>
      <c r="AP76" s="193"/>
    </row>
    <row r="77" spans="1:42">
      <c r="A77" s="177"/>
      <c r="B77" s="14"/>
      <c r="C77" s="14"/>
      <c r="D77" s="14"/>
      <c r="E77" s="14"/>
      <c r="F77" s="181"/>
      <c r="G77" s="181"/>
      <c r="H77" s="181"/>
      <c r="I77" s="181"/>
      <c r="J77" s="14"/>
      <c r="K77" s="14"/>
      <c r="L77" s="14"/>
      <c r="M77" s="14"/>
      <c r="N77" s="14"/>
      <c r="O77" s="14"/>
      <c r="P77" s="14"/>
      <c r="Q77" s="181"/>
      <c r="R77" s="14"/>
      <c r="S77" s="14"/>
      <c r="T77" s="14"/>
      <c r="U77" s="14"/>
      <c r="V77" s="14"/>
      <c r="W77" s="14"/>
      <c r="X77" s="14"/>
      <c r="Y77" s="14"/>
      <c r="Z77" s="14"/>
      <c r="AA77" s="14"/>
      <c r="AB77" s="14"/>
      <c r="AD77" s="14"/>
      <c r="AE77" s="14"/>
      <c r="AF77" s="181"/>
      <c r="AI77" s="14"/>
      <c r="AJ77" s="14"/>
      <c r="AK77" s="181"/>
      <c r="AN77" s="14"/>
      <c r="AO77" s="14"/>
      <c r="AP77" s="193"/>
    </row>
    <row r="78" spans="1:42">
      <c r="A78" s="177"/>
      <c r="B78" s="14"/>
      <c r="C78" s="14"/>
      <c r="D78" s="14"/>
      <c r="E78" s="14"/>
      <c r="F78" s="181"/>
      <c r="G78" s="181"/>
      <c r="H78" s="181"/>
      <c r="I78" s="181"/>
      <c r="J78" s="14"/>
      <c r="K78" s="14"/>
      <c r="L78" s="14"/>
      <c r="M78" s="14"/>
      <c r="N78" s="14"/>
      <c r="O78" s="14"/>
      <c r="P78" s="14"/>
      <c r="Q78" s="181"/>
      <c r="R78" s="14"/>
      <c r="S78" s="14"/>
      <c r="T78" s="14"/>
      <c r="U78" s="14"/>
      <c r="V78" s="14"/>
      <c r="W78" s="14"/>
      <c r="X78" s="14"/>
      <c r="Y78" s="14"/>
      <c r="Z78" s="14"/>
      <c r="AA78" s="14"/>
      <c r="AB78" s="14"/>
      <c r="AD78" s="14"/>
      <c r="AE78" s="14"/>
      <c r="AF78" s="181"/>
      <c r="AI78" s="14"/>
      <c r="AJ78" s="14"/>
      <c r="AK78" s="181"/>
      <c r="AN78" s="14"/>
      <c r="AO78" s="14"/>
      <c r="AP78" s="193"/>
    </row>
    <row r="79" spans="1:42">
      <c r="A79" s="177"/>
      <c r="B79" s="14"/>
      <c r="C79" s="14"/>
      <c r="D79" s="14"/>
      <c r="E79" s="14"/>
      <c r="F79" s="181"/>
      <c r="G79" s="181"/>
      <c r="H79" s="181"/>
      <c r="I79" s="181"/>
      <c r="J79" s="14"/>
      <c r="K79" s="14"/>
      <c r="L79" s="14"/>
      <c r="M79" s="14"/>
      <c r="N79" s="14"/>
      <c r="O79" s="14"/>
      <c r="P79" s="14"/>
      <c r="Q79" s="181"/>
      <c r="R79" s="14"/>
      <c r="S79" s="14"/>
      <c r="T79" s="14"/>
      <c r="U79" s="14"/>
      <c r="V79" s="14"/>
      <c r="W79" s="14"/>
      <c r="X79" s="14"/>
      <c r="Y79" s="14"/>
      <c r="Z79" s="14"/>
      <c r="AA79" s="14"/>
      <c r="AB79" s="14"/>
      <c r="AD79" s="14"/>
      <c r="AE79" s="14"/>
      <c r="AF79" s="181"/>
      <c r="AI79" s="14"/>
      <c r="AJ79" s="14"/>
      <c r="AK79" s="181"/>
      <c r="AN79" s="14"/>
      <c r="AO79" s="14"/>
      <c r="AP79" s="193"/>
    </row>
    <row r="80" spans="1:42">
      <c r="A80" s="177"/>
      <c r="B80" s="14"/>
      <c r="C80" s="14"/>
      <c r="D80" s="14"/>
      <c r="E80" s="14"/>
      <c r="F80" s="181"/>
      <c r="G80" s="181"/>
      <c r="H80" s="181"/>
      <c r="I80" s="181"/>
      <c r="J80" s="14"/>
      <c r="K80" s="14"/>
      <c r="L80" s="14"/>
      <c r="M80" s="14"/>
      <c r="N80" s="14"/>
      <c r="O80" s="14"/>
      <c r="P80" s="14"/>
      <c r="Q80" s="181"/>
      <c r="R80" s="14"/>
      <c r="S80" s="14"/>
      <c r="T80" s="14"/>
      <c r="U80" s="14"/>
      <c r="V80" s="14"/>
      <c r="W80" s="14"/>
      <c r="X80" s="14"/>
      <c r="Y80" s="14"/>
      <c r="Z80" s="14"/>
      <c r="AA80" s="14"/>
      <c r="AB80" s="14"/>
      <c r="AD80" s="14"/>
      <c r="AE80" s="14"/>
      <c r="AF80" s="181"/>
      <c r="AI80" s="14"/>
      <c r="AJ80" s="14"/>
      <c r="AK80" s="181"/>
      <c r="AN80" s="14"/>
      <c r="AO80" s="14"/>
      <c r="AP80" s="193"/>
    </row>
    <row r="81" spans="1:42">
      <c r="A81" s="177"/>
      <c r="B81" s="14"/>
      <c r="C81" s="14"/>
      <c r="D81" s="14"/>
      <c r="E81" s="14"/>
      <c r="F81" s="181"/>
      <c r="G81" s="181"/>
      <c r="H81" s="181"/>
      <c r="I81" s="181"/>
      <c r="J81" s="14"/>
      <c r="K81" s="14"/>
      <c r="L81" s="14"/>
      <c r="M81" s="14"/>
      <c r="N81" s="14"/>
      <c r="O81" s="14"/>
      <c r="P81" s="14"/>
      <c r="Q81" s="181"/>
      <c r="R81" s="14"/>
      <c r="S81" s="14"/>
      <c r="T81" s="14"/>
      <c r="U81" s="14"/>
      <c r="V81" s="14"/>
      <c r="W81" s="14"/>
      <c r="X81" s="14"/>
      <c r="Y81" s="14"/>
      <c r="Z81" s="14"/>
      <c r="AA81" s="14"/>
      <c r="AB81" s="14"/>
      <c r="AD81" s="14"/>
      <c r="AE81" s="14"/>
      <c r="AF81" s="181"/>
      <c r="AI81" s="14"/>
      <c r="AJ81" s="14"/>
      <c r="AK81" s="181"/>
      <c r="AN81" s="14"/>
      <c r="AO81" s="14"/>
      <c r="AP81" s="193"/>
    </row>
    <row r="82" spans="1:42">
      <c r="A82" s="177"/>
      <c r="B82" s="14"/>
      <c r="C82" s="14"/>
      <c r="D82" s="14"/>
      <c r="E82" s="14"/>
      <c r="F82" s="181"/>
      <c r="G82" s="181"/>
      <c r="H82" s="181"/>
      <c r="I82" s="181"/>
      <c r="J82" s="14"/>
      <c r="K82" s="14"/>
      <c r="L82" s="14"/>
      <c r="M82" s="14"/>
      <c r="N82" s="14"/>
      <c r="O82" s="14"/>
      <c r="P82" s="14"/>
      <c r="Q82" s="181"/>
      <c r="R82" s="14"/>
      <c r="S82" s="14"/>
      <c r="T82" s="14"/>
      <c r="U82" s="14"/>
      <c r="V82" s="14"/>
      <c r="W82" s="14"/>
      <c r="X82" s="14"/>
      <c r="Y82" s="14"/>
      <c r="Z82" s="14"/>
      <c r="AA82" s="14"/>
      <c r="AB82" s="14"/>
      <c r="AD82" s="14"/>
      <c r="AE82" s="14"/>
      <c r="AF82" s="181"/>
      <c r="AI82" s="14"/>
      <c r="AJ82" s="14"/>
      <c r="AK82" s="181"/>
      <c r="AN82" s="14"/>
      <c r="AO82" s="14"/>
      <c r="AP82" s="193"/>
    </row>
    <row r="83" spans="1:42">
      <c r="A83" s="177"/>
      <c r="B83" s="14"/>
      <c r="C83" s="14"/>
      <c r="D83" s="14"/>
      <c r="E83" s="14"/>
      <c r="F83" s="181"/>
      <c r="G83" s="181"/>
      <c r="H83" s="181"/>
      <c r="I83" s="181"/>
      <c r="J83" s="14"/>
      <c r="K83" s="14"/>
      <c r="L83" s="14"/>
      <c r="M83" s="14"/>
      <c r="N83" s="14"/>
      <c r="O83" s="14"/>
      <c r="P83" s="14"/>
      <c r="Q83" s="181"/>
      <c r="R83" s="14"/>
      <c r="S83" s="14"/>
      <c r="T83" s="14"/>
      <c r="U83" s="14"/>
      <c r="V83" s="14"/>
      <c r="W83" s="14"/>
      <c r="X83" s="14"/>
      <c r="Y83" s="14"/>
      <c r="Z83" s="14"/>
      <c r="AA83" s="14"/>
      <c r="AB83" s="14"/>
      <c r="AD83" s="14"/>
      <c r="AE83" s="14"/>
      <c r="AF83" s="181"/>
      <c r="AI83" s="14"/>
      <c r="AJ83" s="14"/>
      <c r="AK83" s="181"/>
      <c r="AN83" s="14"/>
      <c r="AO83" s="14"/>
      <c r="AP83" s="193"/>
    </row>
    <row r="84" spans="1:42">
      <c r="A84" s="177"/>
      <c r="B84" s="14"/>
      <c r="C84" s="14"/>
      <c r="D84" s="14"/>
      <c r="E84" s="14"/>
      <c r="F84" s="181"/>
      <c r="G84" s="181"/>
      <c r="H84" s="181"/>
      <c r="I84" s="181"/>
      <c r="J84" s="14"/>
      <c r="K84" s="14"/>
      <c r="L84" s="14"/>
      <c r="M84" s="14"/>
      <c r="N84" s="14"/>
      <c r="O84" s="14"/>
      <c r="P84" s="14"/>
      <c r="Q84" s="181"/>
      <c r="R84" s="14"/>
      <c r="S84" s="14"/>
      <c r="T84" s="14"/>
      <c r="U84" s="14"/>
      <c r="V84" s="14"/>
      <c r="W84" s="14"/>
      <c r="X84" s="14"/>
      <c r="Y84" s="14"/>
      <c r="Z84" s="14"/>
      <c r="AA84" s="14"/>
      <c r="AB84" s="14"/>
      <c r="AD84" s="14"/>
      <c r="AE84" s="14"/>
      <c r="AF84" s="181"/>
      <c r="AI84" s="14"/>
      <c r="AJ84" s="14"/>
      <c r="AK84" s="181"/>
      <c r="AN84" s="14"/>
      <c r="AO84" s="14"/>
      <c r="AP84" s="193"/>
    </row>
    <row r="85" spans="1:42">
      <c r="A85" s="177"/>
      <c r="B85" s="14"/>
      <c r="C85" s="14"/>
      <c r="D85" s="14"/>
      <c r="E85" s="14"/>
      <c r="F85" s="181"/>
      <c r="G85" s="181"/>
      <c r="H85" s="181"/>
      <c r="I85" s="181"/>
      <c r="J85" s="14"/>
      <c r="K85" s="14"/>
      <c r="L85" s="14"/>
      <c r="M85" s="14"/>
      <c r="N85" s="14"/>
      <c r="O85" s="14"/>
      <c r="P85" s="14"/>
      <c r="Q85" s="181"/>
      <c r="R85" s="14"/>
      <c r="S85" s="14"/>
      <c r="T85" s="14"/>
      <c r="U85" s="14"/>
      <c r="V85" s="14"/>
      <c r="W85" s="14"/>
      <c r="X85" s="14"/>
      <c r="Y85" s="14"/>
      <c r="Z85" s="14"/>
      <c r="AA85" s="14"/>
      <c r="AB85" s="14"/>
      <c r="AD85" s="14"/>
      <c r="AE85" s="14"/>
      <c r="AF85" s="181"/>
      <c r="AI85" s="14"/>
      <c r="AJ85" s="14"/>
      <c r="AK85" s="181"/>
      <c r="AN85" s="14"/>
      <c r="AO85" s="14"/>
      <c r="AP85" s="193"/>
    </row>
    <row r="86" spans="1:42">
      <c r="A86" s="177"/>
      <c r="B86" s="14"/>
      <c r="C86" s="14"/>
      <c r="D86" s="14"/>
      <c r="E86" s="14"/>
      <c r="F86" s="181"/>
      <c r="G86" s="181"/>
      <c r="H86" s="181"/>
      <c r="I86" s="181"/>
      <c r="J86" s="14"/>
      <c r="K86" s="14"/>
      <c r="L86" s="14"/>
      <c r="M86" s="14"/>
      <c r="N86" s="14"/>
      <c r="O86" s="14"/>
      <c r="P86" s="14"/>
      <c r="Q86" s="181"/>
      <c r="R86" s="14"/>
      <c r="S86" s="14"/>
      <c r="T86" s="14"/>
      <c r="U86" s="14"/>
      <c r="V86" s="14"/>
      <c r="W86" s="14"/>
      <c r="X86" s="14"/>
      <c r="Y86" s="14"/>
      <c r="Z86" s="14"/>
      <c r="AA86" s="14"/>
      <c r="AB86" s="14"/>
      <c r="AD86" s="14"/>
      <c r="AE86" s="14"/>
      <c r="AF86" s="181"/>
      <c r="AI86" s="14"/>
      <c r="AJ86" s="14"/>
      <c r="AK86" s="181"/>
      <c r="AN86" s="14"/>
      <c r="AO86" s="14"/>
      <c r="AP86" s="193"/>
    </row>
    <row r="87" spans="1:42">
      <c r="A87" s="177"/>
      <c r="B87" s="14"/>
      <c r="C87" s="14"/>
      <c r="D87" s="14"/>
      <c r="E87" s="14"/>
      <c r="F87" s="181"/>
      <c r="G87" s="181"/>
      <c r="H87" s="181"/>
      <c r="I87" s="181"/>
      <c r="J87" s="14"/>
      <c r="K87" s="14"/>
      <c r="L87" s="14"/>
      <c r="M87" s="14"/>
      <c r="N87" s="14"/>
      <c r="O87" s="14"/>
      <c r="P87" s="14"/>
      <c r="Q87" s="181"/>
      <c r="R87" s="14"/>
      <c r="S87" s="14"/>
      <c r="T87" s="14"/>
      <c r="U87" s="14"/>
      <c r="V87" s="14"/>
      <c r="W87" s="14"/>
      <c r="X87" s="14"/>
      <c r="Y87" s="14"/>
      <c r="Z87" s="14"/>
      <c r="AA87" s="14"/>
      <c r="AB87" s="14"/>
      <c r="AD87" s="14"/>
      <c r="AE87" s="14"/>
      <c r="AF87" s="181"/>
      <c r="AI87" s="14"/>
      <c r="AJ87" s="14"/>
      <c r="AK87" s="181"/>
      <c r="AN87" s="14"/>
      <c r="AO87" s="14"/>
      <c r="AP87" s="193"/>
    </row>
    <row r="88" spans="1:42">
      <c r="A88" s="177"/>
      <c r="B88" s="14"/>
      <c r="C88" s="14"/>
      <c r="D88" s="14"/>
      <c r="E88" s="14"/>
      <c r="F88" s="181"/>
      <c r="G88" s="181"/>
      <c r="H88" s="181"/>
      <c r="I88" s="181"/>
      <c r="J88" s="14"/>
      <c r="K88" s="14"/>
      <c r="L88" s="14"/>
      <c r="M88" s="14"/>
      <c r="N88" s="14"/>
      <c r="O88" s="14"/>
      <c r="P88" s="14"/>
      <c r="Q88" s="181"/>
      <c r="R88" s="14"/>
      <c r="S88" s="14"/>
      <c r="T88" s="14"/>
      <c r="U88" s="14"/>
      <c r="V88" s="14"/>
      <c r="W88" s="14"/>
      <c r="X88" s="14"/>
      <c r="Y88" s="14"/>
      <c r="Z88" s="14"/>
      <c r="AA88" s="14"/>
      <c r="AB88" s="14"/>
      <c r="AD88" s="14"/>
      <c r="AE88" s="14"/>
      <c r="AF88" s="181"/>
      <c r="AI88" s="14"/>
      <c r="AJ88" s="14"/>
      <c r="AK88" s="181"/>
      <c r="AN88" s="14"/>
      <c r="AO88" s="14"/>
      <c r="AP88" s="193"/>
    </row>
    <row r="89" spans="1:42">
      <c r="A89" s="177"/>
      <c r="B89" s="14"/>
      <c r="C89" s="14"/>
      <c r="D89" s="14"/>
      <c r="E89" s="14"/>
      <c r="F89" s="181"/>
      <c r="G89" s="181"/>
      <c r="H89" s="181"/>
      <c r="I89" s="181"/>
      <c r="J89" s="14"/>
      <c r="K89" s="14"/>
      <c r="L89" s="14"/>
      <c r="M89" s="14"/>
      <c r="N89" s="14"/>
      <c r="O89" s="14"/>
      <c r="P89" s="14"/>
      <c r="Q89" s="181"/>
      <c r="R89" s="14"/>
      <c r="S89" s="14"/>
      <c r="T89" s="14"/>
      <c r="U89" s="14"/>
      <c r="V89" s="14"/>
      <c r="W89" s="14"/>
      <c r="X89" s="14"/>
      <c r="Y89" s="14"/>
      <c r="Z89" s="14"/>
      <c r="AA89" s="14"/>
      <c r="AB89" s="14"/>
      <c r="AD89" s="14"/>
      <c r="AE89" s="14"/>
      <c r="AF89" s="181"/>
      <c r="AI89" s="14"/>
      <c r="AJ89" s="14"/>
      <c r="AK89" s="181"/>
      <c r="AN89" s="14"/>
      <c r="AO89" s="14"/>
      <c r="AP89" s="193"/>
    </row>
    <row r="90" spans="1:42">
      <c r="A90" s="177"/>
      <c r="B90" s="14"/>
      <c r="C90" s="14"/>
      <c r="D90" s="14"/>
      <c r="E90" s="14"/>
      <c r="F90" s="181"/>
      <c r="G90" s="181"/>
      <c r="H90" s="181"/>
      <c r="I90" s="181"/>
      <c r="J90" s="14"/>
      <c r="K90" s="14"/>
      <c r="L90" s="14"/>
      <c r="M90" s="14"/>
      <c r="N90" s="14"/>
      <c r="O90" s="14"/>
      <c r="P90" s="14"/>
      <c r="Q90" s="181"/>
      <c r="R90" s="14"/>
      <c r="S90" s="14"/>
      <c r="T90" s="14"/>
      <c r="U90" s="14"/>
      <c r="V90" s="14"/>
      <c r="W90" s="14"/>
      <c r="X90" s="14"/>
      <c r="Y90" s="14"/>
      <c r="Z90" s="14"/>
      <c r="AA90" s="14"/>
      <c r="AB90" s="14"/>
      <c r="AD90" s="14"/>
      <c r="AE90" s="14"/>
      <c r="AF90" s="181"/>
      <c r="AI90" s="14"/>
      <c r="AJ90" s="14"/>
      <c r="AK90" s="181"/>
      <c r="AN90" s="14"/>
      <c r="AO90" s="14"/>
      <c r="AP90" s="193"/>
    </row>
    <row r="91" spans="1:42">
      <c r="A91" s="177"/>
      <c r="B91" s="14"/>
      <c r="C91" s="14"/>
      <c r="D91" s="14"/>
      <c r="E91" s="14"/>
      <c r="F91" s="181"/>
      <c r="G91" s="181"/>
      <c r="H91" s="181"/>
      <c r="I91" s="181"/>
      <c r="J91" s="14"/>
      <c r="K91" s="14"/>
      <c r="L91" s="14"/>
      <c r="M91" s="14"/>
      <c r="N91" s="14"/>
      <c r="O91" s="14"/>
      <c r="P91" s="14"/>
      <c r="Q91" s="181"/>
      <c r="R91" s="14"/>
      <c r="S91" s="14"/>
      <c r="T91" s="14"/>
      <c r="U91" s="14"/>
      <c r="V91" s="14"/>
      <c r="W91" s="14"/>
      <c r="X91" s="14"/>
      <c r="Y91" s="14"/>
      <c r="Z91" s="14"/>
      <c r="AA91" s="14"/>
      <c r="AB91" s="14"/>
      <c r="AD91" s="14"/>
      <c r="AE91" s="14"/>
      <c r="AF91" s="181"/>
      <c r="AI91" s="14"/>
      <c r="AJ91" s="14"/>
      <c r="AK91" s="181"/>
      <c r="AN91" s="14"/>
      <c r="AO91" s="14"/>
      <c r="AP91" s="193"/>
    </row>
    <row r="92" spans="1:42">
      <c r="A92" s="177"/>
      <c r="B92" s="14"/>
      <c r="C92" s="14"/>
      <c r="D92" s="14"/>
      <c r="E92" s="14"/>
      <c r="F92" s="181"/>
      <c r="G92" s="181"/>
      <c r="H92" s="181"/>
      <c r="I92" s="181"/>
      <c r="J92" s="14"/>
      <c r="K92" s="14"/>
      <c r="L92" s="14"/>
      <c r="M92" s="14"/>
      <c r="N92" s="14"/>
      <c r="O92" s="14"/>
      <c r="P92" s="14"/>
      <c r="Q92" s="181"/>
      <c r="R92" s="14"/>
      <c r="S92" s="14"/>
      <c r="T92" s="14"/>
      <c r="U92" s="14"/>
      <c r="V92" s="14"/>
      <c r="W92" s="14"/>
      <c r="X92" s="14"/>
      <c r="Y92" s="14"/>
      <c r="Z92" s="14"/>
      <c r="AA92" s="14"/>
      <c r="AB92" s="14"/>
      <c r="AD92" s="14"/>
      <c r="AE92" s="14"/>
      <c r="AF92" s="181"/>
      <c r="AI92" s="14"/>
      <c r="AJ92" s="14"/>
      <c r="AK92" s="181"/>
      <c r="AN92" s="14"/>
      <c r="AO92" s="14"/>
      <c r="AP92" s="193"/>
    </row>
    <row r="93" spans="1:42">
      <c r="A93" s="177"/>
      <c r="B93" s="14"/>
      <c r="C93" s="14"/>
      <c r="D93" s="14"/>
      <c r="E93" s="14"/>
      <c r="F93" s="181"/>
      <c r="G93" s="181"/>
      <c r="H93" s="181"/>
      <c r="I93" s="181"/>
      <c r="J93" s="14"/>
      <c r="K93" s="14"/>
      <c r="L93" s="14"/>
      <c r="M93" s="14"/>
      <c r="N93" s="14"/>
      <c r="O93" s="14"/>
      <c r="P93" s="14"/>
      <c r="Q93" s="181"/>
      <c r="R93" s="14"/>
      <c r="S93" s="14"/>
      <c r="T93" s="14"/>
      <c r="U93" s="14"/>
      <c r="V93" s="14"/>
      <c r="W93" s="14"/>
      <c r="X93" s="14"/>
      <c r="Y93" s="14"/>
      <c r="Z93" s="14"/>
      <c r="AA93" s="14"/>
      <c r="AB93" s="14"/>
      <c r="AD93" s="14"/>
      <c r="AE93" s="14"/>
      <c r="AF93" s="181"/>
      <c r="AI93" s="14"/>
      <c r="AJ93" s="14"/>
      <c r="AK93" s="181"/>
      <c r="AN93" s="14"/>
      <c r="AO93" s="14"/>
      <c r="AP93" s="193"/>
    </row>
    <row r="94" spans="1:42">
      <c r="A94" s="177"/>
      <c r="B94" s="14"/>
      <c r="C94" s="14"/>
      <c r="D94" s="14"/>
      <c r="E94" s="14"/>
      <c r="F94" s="181"/>
      <c r="G94" s="181"/>
      <c r="H94" s="181"/>
      <c r="I94" s="181"/>
      <c r="J94" s="14"/>
      <c r="K94" s="14"/>
      <c r="L94" s="14"/>
      <c r="M94" s="14"/>
      <c r="N94" s="14"/>
      <c r="O94" s="14"/>
      <c r="P94" s="14"/>
      <c r="Q94" s="181"/>
      <c r="R94" s="14"/>
      <c r="S94" s="14"/>
      <c r="T94" s="14"/>
      <c r="U94" s="14"/>
      <c r="V94" s="14"/>
      <c r="W94" s="14"/>
      <c r="X94" s="14"/>
      <c r="Y94" s="14"/>
      <c r="Z94" s="14"/>
      <c r="AA94" s="14"/>
      <c r="AB94" s="14"/>
      <c r="AD94" s="14"/>
      <c r="AE94" s="14"/>
      <c r="AF94" s="181"/>
      <c r="AI94" s="14"/>
      <c r="AJ94" s="14"/>
      <c r="AK94" s="181"/>
      <c r="AN94" s="14"/>
      <c r="AO94" s="14"/>
      <c r="AP94" s="193"/>
    </row>
    <row r="95" spans="1:42">
      <c r="A95" s="177"/>
      <c r="B95" s="14"/>
      <c r="C95" s="14"/>
      <c r="D95" s="14"/>
      <c r="E95" s="14"/>
      <c r="F95" s="181"/>
      <c r="G95" s="181"/>
      <c r="H95" s="181"/>
      <c r="I95" s="181"/>
      <c r="J95" s="14"/>
      <c r="K95" s="14"/>
      <c r="L95" s="14"/>
      <c r="M95" s="14"/>
      <c r="N95" s="14"/>
      <c r="O95" s="14"/>
      <c r="P95" s="14"/>
      <c r="Q95" s="181"/>
      <c r="R95" s="14"/>
      <c r="S95" s="14"/>
      <c r="T95" s="14"/>
      <c r="U95" s="14"/>
      <c r="V95" s="14"/>
      <c r="W95" s="14"/>
      <c r="X95" s="14"/>
      <c r="Y95" s="14"/>
      <c r="Z95" s="14"/>
      <c r="AA95" s="14"/>
      <c r="AB95" s="14"/>
      <c r="AD95" s="14"/>
      <c r="AE95" s="14"/>
      <c r="AF95" s="181"/>
      <c r="AI95" s="14"/>
      <c r="AJ95" s="14"/>
      <c r="AK95" s="181"/>
      <c r="AN95" s="14"/>
      <c r="AO95" s="14"/>
      <c r="AP95" s="193"/>
    </row>
    <row r="96" spans="1:42">
      <c r="A96" s="177"/>
      <c r="B96" s="14"/>
      <c r="C96" s="14"/>
      <c r="D96" s="14"/>
      <c r="E96" s="14"/>
      <c r="F96" s="181"/>
      <c r="G96" s="181"/>
      <c r="H96" s="181"/>
      <c r="I96" s="181"/>
      <c r="J96" s="14"/>
      <c r="K96" s="14"/>
      <c r="L96" s="14"/>
      <c r="M96" s="14"/>
      <c r="N96" s="14"/>
      <c r="O96" s="14"/>
      <c r="P96" s="14"/>
      <c r="Q96" s="181"/>
      <c r="R96" s="14"/>
      <c r="S96" s="14"/>
      <c r="T96" s="14"/>
      <c r="U96" s="14"/>
      <c r="V96" s="14"/>
      <c r="W96" s="14"/>
      <c r="X96" s="14"/>
      <c r="Y96" s="14"/>
      <c r="Z96" s="14"/>
      <c r="AA96" s="14"/>
      <c r="AB96" s="14"/>
      <c r="AD96" s="14"/>
      <c r="AE96" s="14"/>
      <c r="AF96" s="181"/>
      <c r="AI96" s="14"/>
      <c r="AJ96" s="14"/>
      <c r="AK96" s="181"/>
      <c r="AN96" s="14"/>
      <c r="AO96" s="14"/>
      <c r="AP96" s="193"/>
    </row>
    <row r="97" spans="1:42">
      <c r="A97" s="177"/>
      <c r="B97" s="14"/>
      <c r="C97" s="14"/>
      <c r="D97" s="14"/>
      <c r="E97" s="14"/>
      <c r="F97" s="181"/>
      <c r="G97" s="181"/>
      <c r="H97" s="181"/>
      <c r="I97" s="181"/>
      <c r="J97" s="14"/>
      <c r="K97" s="14"/>
      <c r="L97" s="14"/>
      <c r="M97" s="14"/>
      <c r="N97" s="14"/>
      <c r="O97" s="14"/>
      <c r="P97" s="14"/>
      <c r="Q97" s="181"/>
      <c r="R97" s="14"/>
      <c r="S97" s="14"/>
      <c r="T97" s="14"/>
      <c r="U97" s="14"/>
      <c r="V97" s="14"/>
      <c r="W97" s="14"/>
      <c r="X97" s="14"/>
      <c r="Y97" s="14"/>
      <c r="Z97" s="14"/>
      <c r="AA97" s="14"/>
      <c r="AB97" s="14"/>
      <c r="AD97" s="14"/>
      <c r="AE97" s="14"/>
      <c r="AF97" s="181"/>
      <c r="AI97" s="14"/>
      <c r="AJ97" s="14"/>
      <c r="AK97" s="181"/>
      <c r="AN97" s="14"/>
      <c r="AO97" s="14"/>
      <c r="AP97" s="193"/>
    </row>
    <row r="98" spans="1:42">
      <c r="A98" s="177"/>
      <c r="B98" s="14"/>
      <c r="C98" s="14"/>
      <c r="D98" s="14"/>
      <c r="E98" s="14"/>
      <c r="F98" s="181"/>
      <c r="G98" s="181"/>
      <c r="H98" s="181"/>
      <c r="I98" s="181"/>
      <c r="J98" s="14"/>
      <c r="K98" s="14"/>
      <c r="L98" s="14"/>
      <c r="M98" s="14"/>
      <c r="N98" s="14"/>
      <c r="O98" s="14"/>
      <c r="P98" s="14"/>
      <c r="Q98" s="181"/>
      <c r="R98" s="14"/>
      <c r="S98" s="14"/>
      <c r="T98" s="14"/>
      <c r="U98" s="14"/>
      <c r="V98" s="14"/>
      <c r="W98" s="14"/>
      <c r="X98" s="14"/>
      <c r="Y98" s="14"/>
      <c r="Z98" s="14"/>
      <c r="AA98" s="14"/>
      <c r="AB98" s="14"/>
      <c r="AD98" s="14"/>
      <c r="AE98" s="14"/>
      <c r="AF98" s="181"/>
      <c r="AI98" s="14"/>
      <c r="AJ98" s="14"/>
      <c r="AK98" s="181"/>
      <c r="AN98" s="14"/>
      <c r="AO98" s="14"/>
      <c r="AP98" s="193"/>
    </row>
    <row r="99" spans="1:42">
      <c r="A99" s="177"/>
      <c r="B99" s="14"/>
      <c r="C99" s="14"/>
      <c r="D99" s="14"/>
      <c r="E99" s="14"/>
      <c r="F99" s="181"/>
      <c r="G99" s="181"/>
      <c r="H99" s="181"/>
      <c r="I99" s="181"/>
      <c r="J99" s="14"/>
      <c r="K99" s="14"/>
      <c r="L99" s="14"/>
      <c r="M99" s="14"/>
      <c r="N99" s="14"/>
      <c r="O99" s="14"/>
      <c r="P99" s="14"/>
      <c r="Q99" s="181"/>
      <c r="R99" s="14"/>
      <c r="S99" s="14"/>
      <c r="T99" s="14"/>
      <c r="U99" s="14"/>
      <c r="V99" s="14"/>
      <c r="W99" s="14"/>
      <c r="X99" s="14"/>
      <c r="Y99" s="14"/>
      <c r="Z99" s="14"/>
      <c r="AA99" s="14"/>
      <c r="AB99" s="14"/>
      <c r="AD99" s="14"/>
      <c r="AE99" s="14"/>
      <c r="AF99" s="181"/>
      <c r="AI99" s="14"/>
      <c r="AJ99" s="14"/>
      <c r="AK99" s="181"/>
      <c r="AN99" s="14"/>
      <c r="AO99" s="14"/>
      <c r="AP99" s="193"/>
    </row>
    <row r="100" spans="1:42">
      <c r="A100" s="177"/>
      <c r="B100" s="14"/>
      <c r="C100" s="14"/>
      <c r="D100" s="14"/>
      <c r="E100" s="14"/>
      <c r="F100" s="181"/>
      <c r="G100" s="181"/>
      <c r="H100" s="181"/>
      <c r="I100" s="181"/>
      <c r="J100" s="14"/>
      <c r="K100" s="14"/>
      <c r="L100" s="14"/>
      <c r="M100" s="14"/>
      <c r="N100" s="14"/>
      <c r="O100" s="14"/>
      <c r="P100" s="14"/>
      <c r="Q100" s="181"/>
      <c r="R100" s="14"/>
      <c r="S100" s="14"/>
      <c r="T100" s="14"/>
      <c r="U100" s="14"/>
      <c r="V100" s="14"/>
      <c r="W100" s="14"/>
      <c r="X100" s="14"/>
      <c r="Y100" s="14"/>
      <c r="Z100" s="14"/>
      <c r="AA100" s="14"/>
      <c r="AB100" s="14"/>
      <c r="AD100" s="14"/>
      <c r="AE100" s="14"/>
      <c r="AF100" s="181"/>
      <c r="AI100" s="14"/>
      <c r="AJ100" s="14"/>
      <c r="AK100" s="181"/>
      <c r="AN100" s="14"/>
      <c r="AO100" s="14"/>
      <c r="AP100" s="193"/>
    </row>
    <row r="101" spans="1:42">
      <c r="A101" s="177"/>
      <c r="B101" s="14"/>
      <c r="C101" s="14"/>
      <c r="D101" s="14"/>
      <c r="E101" s="14"/>
      <c r="F101" s="181"/>
      <c r="G101" s="181"/>
      <c r="H101" s="181"/>
      <c r="I101" s="181"/>
      <c r="J101" s="14"/>
      <c r="K101" s="14"/>
      <c r="L101" s="14"/>
      <c r="M101" s="14"/>
      <c r="N101" s="14"/>
      <c r="O101" s="14"/>
      <c r="P101" s="14"/>
      <c r="Q101" s="181"/>
      <c r="R101" s="14"/>
      <c r="S101" s="14"/>
      <c r="T101" s="14"/>
      <c r="U101" s="14"/>
      <c r="V101" s="14"/>
      <c r="W101" s="14"/>
      <c r="X101" s="14"/>
      <c r="Y101" s="14"/>
      <c r="Z101" s="14"/>
      <c r="AA101" s="14"/>
      <c r="AB101" s="14"/>
      <c r="AD101" s="14"/>
      <c r="AE101" s="14"/>
      <c r="AF101" s="181"/>
      <c r="AI101" s="14"/>
      <c r="AJ101" s="14"/>
      <c r="AK101" s="181"/>
      <c r="AN101" s="14"/>
      <c r="AO101" s="14"/>
      <c r="AP101" s="193"/>
    </row>
    <row r="102" spans="1:42">
      <c r="A102" s="177"/>
      <c r="B102" s="14"/>
      <c r="C102" s="14"/>
      <c r="D102" s="14"/>
      <c r="E102" s="14"/>
      <c r="F102" s="181"/>
      <c r="G102" s="181"/>
      <c r="H102" s="181"/>
      <c r="I102" s="181"/>
      <c r="J102" s="14"/>
      <c r="K102" s="14"/>
      <c r="L102" s="14"/>
      <c r="M102" s="14"/>
      <c r="N102" s="14"/>
      <c r="O102" s="14"/>
      <c r="P102" s="14"/>
      <c r="Q102" s="181"/>
      <c r="R102" s="14"/>
      <c r="S102" s="14"/>
      <c r="T102" s="14"/>
      <c r="U102" s="14"/>
      <c r="V102" s="14"/>
      <c r="W102" s="14"/>
      <c r="X102" s="14"/>
      <c r="Y102" s="14"/>
      <c r="Z102" s="14"/>
      <c r="AA102" s="14"/>
      <c r="AB102" s="14"/>
      <c r="AD102" s="14"/>
      <c r="AE102" s="14"/>
      <c r="AF102" s="181"/>
      <c r="AI102" s="14"/>
      <c r="AJ102" s="14"/>
      <c r="AK102" s="181"/>
      <c r="AN102" s="14"/>
      <c r="AO102" s="14"/>
      <c r="AP102" s="193"/>
    </row>
    <row r="103" spans="1:42">
      <c r="A103" s="177"/>
      <c r="B103" s="14"/>
      <c r="C103" s="14"/>
      <c r="D103" s="14"/>
      <c r="E103" s="14"/>
      <c r="F103" s="181"/>
      <c r="G103" s="181"/>
      <c r="H103" s="181"/>
      <c r="I103" s="181"/>
      <c r="J103" s="14"/>
      <c r="K103" s="14"/>
      <c r="L103" s="14"/>
      <c r="M103" s="14"/>
      <c r="N103" s="14"/>
      <c r="O103" s="14"/>
      <c r="P103" s="14"/>
      <c r="Q103" s="181"/>
      <c r="R103" s="14"/>
      <c r="S103" s="14"/>
      <c r="T103" s="14"/>
      <c r="U103" s="14"/>
      <c r="V103" s="14"/>
      <c r="W103" s="14"/>
      <c r="X103" s="14"/>
      <c r="Y103" s="14"/>
      <c r="Z103" s="14"/>
      <c r="AA103" s="14"/>
      <c r="AB103" s="14"/>
      <c r="AD103" s="14"/>
      <c r="AE103" s="14"/>
      <c r="AF103" s="181"/>
      <c r="AI103" s="14"/>
      <c r="AJ103" s="14"/>
      <c r="AK103" s="181"/>
      <c r="AN103" s="14"/>
      <c r="AO103" s="14"/>
      <c r="AP103" s="193"/>
    </row>
    <row r="104" spans="1:42">
      <c r="A104" s="177"/>
      <c r="B104" s="14"/>
      <c r="C104" s="14"/>
      <c r="D104" s="14"/>
      <c r="E104" s="14"/>
      <c r="F104" s="181"/>
      <c r="G104" s="181"/>
      <c r="H104" s="181"/>
      <c r="I104" s="181"/>
      <c r="J104" s="14"/>
      <c r="K104" s="14"/>
      <c r="L104" s="14"/>
      <c r="M104" s="14"/>
      <c r="N104" s="14"/>
      <c r="O104" s="14"/>
      <c r="P104" s="14"/>
      <c r="Q104" s="181"/>
      <c r="R104" s="14"/>
      <c r="S104" s="14"/>
      <c r="T104" s="14"/>
      <c r="U104" s="14"/>
      <c r="V104" s="14"/>
      <c r="W104" s="14"/>
      <c r="X104" s="14"/>
      <c r="Y104" s="14"/>
      <c r="Z104" s="14"/>
      <c r="AA104" s="14"/>
      <c r="AB104" s="14"/>
      <c r="AD104" s="14"/>
      <c r="AE104" s="14"/>
      <c r="AF104" s="181"/>
      <c r="AI104" s="14"/>
      <c r="AJ104" s="14"/>
      <c r="AK104" s="181"/>
      <c r="AN104" s="14"/>
      <c r="AO104" s="14"/>
      <c r="AP104" s="193"/>
    </row>
    <row r="105" spans="1:42">
      <c r="A105" s="177"/>
      <c r="B105" s="14"/>
      <c r="C105" s="14"/>
      <c r="D105" s="14"/>
      <c r="E105" s="14"/>
      <c r="F105" s="181"/>
      <c r="G105" s="181"/>
      <c r="H105" s="181"/>
      <c r="I105" s="181"/>
      <c r="J105" s="14"/>
      <c r="K105" s="14"/>
      <c r="L105" s="14"/>
      <c r="M105" s="14"/>
      <c r="N105" s="14"/>
      <c r="O105" s="14"/>
      <c r="P105" s="14"/>
      <c r="Q105" s="181"/>
      <c r="R105" s="14"/>
      <c r="S105" s="14"/>
      <c r="T105" s="14"/>
      <c r="U105" s="14"/>
      <c r="V105" s="14"/>
      <c r="W105" s="14"/>
      <c r="X105" s="14"/>
      <c r="Y105" s="14"/>
      <c r="Z105" s="14"/>
      <c r="AA105" s="14"/>
      <c r="AB105" s="14"/>
      <c r="AD105" s="14"/>
      <c r="AE105" s="14"/>
      <c r="AF105" s="181"/>
      <c r="AI105" s="14"/>
      <c r="AJ105" s="14"/>
      <c r="AK105" s="181"/>
      <c r="AN105" s="14"/>
      <c r="AO105" s="14"/>
      <c r="AP105" s="193"/>
    </row>
    <row r="106" spans="1:42">
      <c r="A106" s="177"/>
      <c r="B106" s="14"/>
      <c r="C106" s="14"/>
      <c r="D106" s="14"/>
      <c r="E106" s="14"/>
      <c r="F106" s="181"/>
      <c r="G106" s="181"/>
      <c r="H106" s="181"/>
      <c r="I106" s="181"/>
      <c r="J106" s="14"/>
      <c r="K106" s="14"/>
      <c r="L106" s="14"/>
      <c r="M106" s="14"/>
      <c r="N106" s="14"/>
      <c r="O106" s="14"/>
      <c r="P106" s="14"/>
      <c r="Q106" s="181"/>
      <c r="R106" s="14"/>
      <c r="S106" s="14"/>
      <c r="T106" s="14"/>
      <c r="U106" s="14"/>
      <c r="V106" s="14"/>
      <c r="W106" s="14"/>
      <c r="X106" s="14"/>
      <c r="Y106" s="14"/>
      <c r="Z106" s="14"/>
      <c r="AA106" s="14"/>
      <c r="AB106" s="14"/>
      <c r="AD106" s="14"/>
      <c r="AE106" s="14"/>
      <c r="AF106" s="181"/>
      <c r="AI106" s="14"/>
      <c r="AJ106" s="14"/>
      <c r="AK106" s="181"/>
      <c r="AN106" s="14"/>
      <c r="AO106" s="14"/>
      <c r="AP106" s="193"/>
    </row>
    <row r="107" spans="1:42">
      <c r="A107" s="177"/>
      <c r="B107" s="14"/>
      <c r="C107" s="14"/>
      <c r="D107" s="14"/>
      <c r="E107" s="14"/>
      <c r="F107" s="181"/>
      <c r="G107" s="181"/>
      <c r="H107" s="181"/>
      <c r="I107" s="181"/>
      <c r="J107" s="14"/>
      <c r="K107" s="14"/>
      <c r="L107" s="14"/>
      <c r="M107" s="14"/>
      <c r="N107" s="14"/>
      <c r="O107" s="14"/>
      <c r="P107" s="14"/>
      <c r="Q107" s="181"/>
      <c r="R107" s="14"/>
      <c r="S107" s="14"/>
      <c r="T107" s="14"/>
      <c r="U107" s="14"/>
      <c r="V107" s="14"/>
      <c r="W107" s="14"/>
      <c r="X107" s="14"/>
      <c r="Y107" s="14"/>
      <c r="Z107" s="14"/>
      <c r="AA107" s="14"/>
      <c r="AB107" s="14"/>
      <c r="AD107" s="14"/>
      <c r="AE107" s="14"/>
      <c r="AF107" s="181"/>
      <c r="AI107" s="14"/>
      <c r="AJ107" s="14"/>
      <c r="AK107" s="181"/>
      <c r="AN107" s="14"/>
      <c r="AO107" s="14"/>
      <c r="AP107" s="193"/>
    </row>
    <row r="108" spans="1:42">
      <c r="A108" s="177"/>
      <c r="B108" s="14"/>
      <c r="C108" s="14"/>
      <c r="D108" s="14"/>
      <c r="E108" s="14"/>
      <c r="F108" s="181"/>
      <c r="G108" s="181"/>
      <c r="H108" s="181"/>
      <c r="I108" s="181"/>
      <c r="J108" s="14"/>
      <c r="K108" s="14"/>
      <c r="L108" s="14"/>
      <c r="M108" s="14"/>
      <c r="N108" s="14"/>
      <c r="O108" s="14"/>
      <c r="P108" s="14"/>
      <c r="Q108" s="181"/>
      <c r="R108" s="14"/>
      <c r="S108" s="14"/>
      <c r="T108" s="14"/>
      <c r="U108" s="14"/>
      <c r="V108" s="14"/>
      <c r="W108" s="14"/>
      <c r="X108" s="14"/>
      <c r="Y108" s="14"/>
      <c r="Z108" s="14"/>
      <c r="AA108" s="14"/>
      <c r="AB108" s="14"/>
      <c r="AD108" s="14"/>
      <c r="AE108" s="14"/>
      <c r="AF108" s="181"/>
      <c r="AI108" s="14"/>
      <c r="AJ108" s="14"/>
      <c r="AK108" s="181"/>
      <c r="AN108" s="14"/>
      <c r="AO108" s="14"/>
      <c r="AP108" s="193"/>
    </row>
    <row r="109" spans="1:42">
      <c r="A109" s="177"/>
      <c r="B109" s="14"/>
      <c r="C109" s="14"/>
      <c r="D109" s="14"/>
      <c r="E109" s="14"/>
      <c r="F109" s="181"/>
      <c r="G109" s="181"/>
      <c r="H109" s="181"/>
      <c r="I109" s="181"/>
      <c r="J109" s="14"/>
      <c r="K109" s="14"/>
      <c r="L109" s="14"/>
      <c r="M109" s="14"/>
      <c r="N109" s="14"/>
      <c r="O109" s="14"/>
      <c r="P109" s="14"/>
      <c r="Q109" s="181"/>
      <c r="R109" s="14"/>
      <c r="S109" s="14"/>
      <c r="T109" s="14"/>
      <c r="U109" s="14"/>
      <c r="V109" s="14"/>
      <c r="W109" s="14"/>
      <c r="X109" s="14"/>
      <c r="Y109" s="14"/>
      <c r="Z109" s="14"/>
      <c r="AA109" s="14"/>
      <c r="AB109" s="14"/>
      <c r="AD109" s="14"/>
      <c r="AE109" s="14"/>
      <c r="AF109" s="181"/>
      <c r="AI109" s="14"/>
      <c r="AJ109" s="14"/>
      <c r="AK109" s="181"/>
      <c r="AN109" s="14"/>
      <c r="AO109" s="14"/>
      <c r="AP109" s="193"/>
    </row>
    <row r="110" spans="1:42">
      <c r="A110" s="177"/>
      <c r="B110" s="14"/>
      <c r="C110" s="14"/>
      <c r="D110" s="14"/>
      <c r="E110" s="14"/>
      <c r="F110" s="181"/>
      <c r="G110" s="181"/>
      <c r="H110" s="181"/>
      <c r="I110" s="181"/>
      <c r="J110" s="14"/>
      <c r="K110" s="14"/>
      <c r="L110" s="14"/>
      <c r="M110" s="14"/>
      <c r="N110" s="14"/>
      <c r="O110" s="14"/>
      <c r="P110" s="14"/>
      <c r="Q110" s="181"/>
      <c r="R110" s="14"/>
      <c r="S110" s="14"/>
      <c r="T110" s="14"/>
      <c r="U110" s="14"/>
      <c r="V110" s="14"/>
      <c r="W110" s="14"/>
      <c r="X110" s="14"/>
      <c r="Y110" s="14"/>
      <c r="Z110" s="14"/>
      <c r="AA110" s="14"/>
      <c r="AB110" s="14"/>
      <c r="AD110" s="14"/>
      <c r="AE110" s="14"/>
      <c r="AF110" s="181"/>
      <c r="AI110" s="14"/>
      <c r="AJ110" s="14"/>
      <c r="AK110" s="181"/>
      <c r="AN110" s="14"/>
      <c r="AO110" s="14"/>
      <c r="AP110" s="193"/>
    </row>
    <row r="111" spans="1:42">
      <c r="A111" s="177"/>
      <c r="B111" s="14"/>
      <c r="C111" s="14"/>
      <c r="D111" s="14"/>
      <c r="E111" s="14"/>
      <c r="F111" s="181"/>
      <c r="G111" s="181"/>
      <c r="H111" s="181"/>
      <c r="I111" s="181"/>
      <c r="J111" s="14"/>
      <c r="K111" s="14"/>
      <c r="L111" s="14"/>
      <c r="M111" s="14"/>
      <c r="N111" s="14"/>
      <c r="O111" s="14"/>
      <c r="P111" s="14"/>
      <c r="Q111" s="181"/>
      <c r="R111" s="14"/>
      <c r="S111" s="14"/>
      <c r="T111" s="14"/>
      <c r="U111" s="14"/>
      <c r="V111" s="14"/>
      <c r="W111" s="14"/>
      <c r="X111" s="14"/>
      <c r="Y111" s="14"/>
      <c r="Z111" s="14"/>
      <c r="AA111" s="14"/>
      <c r="AB111" s="14"/>
      <c r="AD111" s="14"/>
      <c r="AE111" s="14"/>
      <c r="AF111" s="181"/>
      <c r="AI111" s="14"/>
      <c r="AJ111" s="14"/>
      <c r="AK111" s="181"/>
      <c r="AN111" s="14"/>
      <c r="AO111" s="14"/>
      <c r="AP111" s="193"/>
    </row>
    <row r="112" spans="1:42">
      <c r="A112" s="177"/>
      <c r="B112" s="14"/>
      <c r="C112" s="14"/>
      <c r="D112" s="14"/>
      <c r="E112" s="14"/>
      <c r="F112" s="181"/>
      <c r="G112" s="181"/>
      <c r="H112" s="181"/>
      <c r="I112" s="181"/>
      <c r="J112" s="14"/>
      <c r="K112" s="14"/>
      <c r="L112" s="14"/>
      <c r="M112" s="14"/>
      <c r="N112" s="14"/>
      <c r="O112" s="14"/>
      <c r="P112" s="14"/>
      <c r="Q112" s="181"/>
      <c r="R112" s="14"/>
      <c r="S112" s="14"/>
      <c r="T112" s="14"/>
      <c r="U112" s="14"/>
      <c r="V112" s="14"/>
      <c r="W112" s="14"/>
      <c r="X112" s="14"/>
      <c r="Y112" s="14"/>
      <c r="Z112" s="14"/>
      <c r="AA112" s="14"/>
      <c r="AB112" s="14"/>
      <c r="AD112" s="14"/>
      <c r="AE112" s="14"/>
      <c r="AF112" s="181"/>
      <c r="AI112" s="14"/>
      <c r="AJ112" s="14"/>
      <c r="AK112" s="181"/>
      <c r="AN112" s="14"/>
      <c r="AO112" s="14"/>
      <c r="AP112" s="193"/>
    </row>
    <row r="113" spans="1:42">
      <c r="A113" s="177"/>
      <c r="B113" s="14"/>
      <c r="C113" s="14"/>
      <c r="D113" s="14"/>
      <c r="E113" s="14"/>
      <c r="F113" s="181"/>
      <c r="G113" s="181"/>
      <c r="H113" s="181"/>
      <c r="I113" s="181"/>
      <c r="J113" s="14"/>
      <c r="K113" s="14"/>
      <c r="L113" s="14"/>
      <c r="M113" s="14"/>
      <c r="N113" s="14"/>
      <c r="O113" s="14"/>
      <c r="P113" s="14"/>
      <c r="Q113" s="181"/>
      <c r="R113" s="14"/>
      <c r="S113" s="14"/>
      <c r="T113" s="14"/>
      <c r="U113" s="14"/>
      <c r="V113" s="14"/>
      <c r="W113" s="14"/>
      <c r="X113" s="14"/>
      <c r="Y113" s="14"/>
      <c r="Z113" s="14"/>
      <c r="AA113" s="14"/>
      <c r="AB113" s="14"/>
      <c r="AD113" s="14"/>
      <c r="AE113" s="14"/>
      <c r="AF113" s="181"/>
      <c r="AI113" s="14"/>
      <c r="AJ113" s="14"/>
      <c r="AK113" s="181"/>
      <c r="AN113" s="14"/>
      <c r="AO113" s="14"/>
      <c r="AP113" s="193"/>
    </row>
    <row r="114" spans="1:42">
      <c r="A114" s="177"/>
      <c r="B114" s="14"/>
      <c r="C114" s="14"/>
      <c r="D114" s="14"/>
      <c r="E114" s="14"/>
      <c r="F114" s="181"/>
      <c r="G114" s="181"/>
      <c r="H114" s="181"/>
      <c r="I114" s="181"/>
      <c r="J114" s="14"/>
      <c r="K114" s="14"/>
      <c r="L114" s="14"/>
      <c r="M114" s="14"/>
      <c r="N114" s="14"/>
      <c r="O114" s="14"/>
      <c r="P114" s="14"/>
      <c r="Q114" s="181"/>
      <c r="R114" s="14"/>
      <c r="S114" s="14"/>
      <c r="T114" s="14"/>
      <c r="U114" s="14"/>
      <c r="V114" s="14"/>
      <c r="W114" s="14"/>
      <c r="X114" s="14"/>
      <c r="Y114" s="14"/>
      <c r="Z114" s="14"/>
      <c r="AA114" s="14"/>
      <c r="AB114" s="14"/>
      <c r="AD114" s="14"/>
      <c r="AE114" s="14"/>
      <c r="AF114" s="181"/>
      <c r="AI114" s="14"/>
      <c r="AJ114" s="14"/>
      <c r="AK114" s="181"/>
      <c r="AN114" s="14"/>
      <c r="AO114" s="14"/>
      <c r="AP114" s="193"/>
    </row>
    <row r="115" spans="1:42">
      <c r="A115" s="177"/>
      <c r="B115" s="14"/>
      <c r="C115" s="14"/>
      <c r="D115" s="14"/>
      <c r="E115" s="14"/>
      <c r="F115" s="181"/>
      <c r="G115" s="181"/>
      <c r="H115" s="181"/>
      <c r="I115" s="181"/>
      <c r="J115" s="14"/>
      <c r="K115" s="14"/>
      <c r="L115" s="14"/>
      <c r="M115" s="14"/>
      <c r="N115" s="14"/>
      <c r="O115" s="14"/>
      <c r="P115" s="14"/>
      <c r="Q115" s="181"/>
      <c r="R115" s="14"/>
      <c r="S115" s="14"/>
      <c r="T115" s="14"/>
      <c r="U115" s="14"/>
      <c r="V115" s="14"/>
      <c r="W115" s="14"/>
      <c r="X115" s="14"/>
      <c r="Y115" s="14"/>
      <c r="Z115" s="14"/>
      <c r="AA115" s="14"/>
      <c r="AB115" s="14"/>
      <c r="AD115" s="14"/>
      <c r="AE115" s="14"/>
      <c r="AF115" s="181"/>
      <c r="AI115" s="14"/>
      <c r="AJ115" s="14"/>
      <c r="AK115" s="181"/>
      <c r="AN115" s="14"/>
      <c r="AO115" s="14"/>
      <c r="AP115" s="193"/>
    </row>
    <row r="116" spans="1:42">
      <c r="A116" s="177"/>
      <c r="B116" s="14"/>
      <c r="C116" s="14"/>
      <c r="D116" s="14"/>
      <c r="E116" s="14"/>
      <c r="F116" s="181"/>
      <c r="G116" s="181"/>
      <c r="H116" s="181"/>
      <c r="I116" s="181"/>
      <c r="J116" s="14"/>
      <c r="K116" s="14"/>
      <c r="L116" s="14"/>
      <c r="M116" s="14"/>
      <c r="N116" s="14"/>
      <c r="O116" s="14"/>
      <c r="P116" s="14"/>
      <c r="Q116" s="181"/>
      <c r="R116" s="14"/>
      <c r="S116" s="14"/>
      <c r="T116" s="14"/>
      <c r="U116" s="14"/>
      <c r="V116" s="14"/>
      <c r="W116" s="14"/>
      <c r="X116" s="14"/>
      <c r="Y116" s="14"/>
      <c r="Z116" s="14"/>
      <c r="AA116" s="14"/>
      <c r="AB116" s="14"/>
      <c r="AD116" s="14"/>
      <c r="AE116" s="14"/>
      <c r="AF116" s="181"/>
      <c r="AI116" s="14"/>
      <c r="AJ116" s="14"/>
      <c r="AK116" s="181"/>
      <c r="AN116" s="14"/>
      <c r="AO116" s="14"/>
      <c r="AP116" s="193"/>
    </row>
    <row r="117" spans="1:42">
      <c r="A117" s="177"/>
      <c r="B117" s="14"/>
      <c r="C117" s="14"/>
      <c r="D117" s="14"/>
      <c r="E117" s="14"/>
      <c r="F117" s="181"/>
      <c r="G117" s="181"/>
      <c r="H117" s="181"/>
      <c r="I117" s="181"/>
      <c r="J117" s="14"/>
      <c r="K117" s="14"/>
      <c r="L117" s="14"/>
      <c r="M117" s="14"/>
      <c r="N117" s="14"/>
      <c r="O117" s="14"/>
      <c r="P117" s="14"/>
      <c r="Q117" s="181"/>
      <c r="R117" s="14"/>
      <c r="S117" s="14"/>
      <c r="T117" s="14"/>
      <c r="U117" s="14"/>
      <c r="V117" s="14"/>
      <c r="W117" s="14"/>
      <c r="X117" s="14"/>
      <c r="Y117" s="14"/>
      <c r="Z117" s="14"/>
      <c r="AA117" s="14"/>
      <c r="AB117" s="14"/>
      <c r="AD117" s="14"/>
      <c r="AE117" s="14"/>
      <c r="AF117" s="181"/>
      <c r="AI117" s="14"/>
      <c r="AJ117" s="14"/>
      <c r="AK117" s="181"/>
      <c r="AN117" s="14"/>
      <c r="AO117" s="14"/>
      <c r="AP117" s="193"/>
    </row>
    <row r="118" spans="1:42">
      <c r="A118" s="177"/>
      <c r="B118" s="14"/>
      <c r="C118" s="14"/>
      <c r="D118" s="14"/>
      <c r="E118" s="14"/>
      <c r="F118" s="181"/>
      <c r="G118" s="181"/>
      <c r="H118" s="181"/>
      <c r="I118" s="181"/>
      <c r="J118" s="14"/>
      <c r="K118" s="14"/>
      <c r="L118" s="14"/>
      <c r="M118" s="14"/>
      <c r="N118" s="14"/>
      <c r="O118" s="14"/>
      <c r="P118" s="14"/>
      <c r="Q118" s="181"/>
      <c r="R118" s="14"/>
      <c r="S118" s="14"/>
      <c r="T118" s="14"/>
      <c r="U118" s="14"/>
      <c r="V118" s="14"/>
      <c r="W118" s="14"/>
      <c r="X118" s="14"/>
      <c r="Y118" s="14"/>
      <c r="Z118" s="14"/>
      <c r="AA118" s="14"/>
      <c r="AB118" s="14"/>
      <c r="AD118" s="14"/>
      <c r="AE118" s="14"/>
      <c r="AF118" s="181"/>
      <c r="AI118" s="14"/>
      <c r="AJ118" s="14"/>
      <c r="AK118" s="181"/>
      <c r="AN118" s="14"/>
      <c r="AO118" s="14"/>
      <c r="AP118" s="193"/>
    </row>
    <row r="119" spans="1:42">
      <c r="A119" s="177"/>
      <c r="B119" s="14"/>
      <c r="C119" s="14"/>
      <c r="D119" s="14"/>
      <c r="E119" s="14"/>
      <c r="F119" s="181"/>
      <c r="G119" s="181"/>
      <c r="H119" s="181"/>
      <c r="I119" s="181"/>
      <c r="J119" s="14"/>
      <c r="K119" s="14"/>
      <c r="L119" s="14"/>
      <c r="M119" s="14"/>
      <c r="N119" s="14"/>
      <c r="O119" s="14"/>
      <c r="P119" s="14"/>
      <c r="Q119" s="181"/>
      <c r="R119" s="14"/>
      <c r="S119" s="14"/>
      <c r="T119" s="14"/>
      <c r="U119" s="14"/>
      <c r="V119" s="14"/>
      <c r="W119" s="14"/>
      <c r="X119" s="14"/>
      <c r="Y119" s="14"/>
      <c r="Z119" s="14"/>
      <c r="AA119" s="14"/>
      <c r="AB119" s="14"/>
      <c r="AD119" s="14"/>
      <c r="AE119" s="14"/>
      <c r="AF119" s="181"/>
      <c r="AI119" s="14"/>
      <c r="AJ119" s="14"/>
      <c r="AK119" s="181"/>
      <c r="AN119" s="14"/>
      <c r="AO119" s="14"/>
      <c r="AP119" s="193"/>
    </row>
    <row r="120" spans="1:42">
      <c r="A120" s="177"/>
      <c r="B120" s="14"/>
      <c r="C120" s="14"/>
      <c r="D120" s="14"/>
      <c r="E120" s="14"/>
      <c r="F120" s="181"/>
      <c r="G120" s="181"/>
      <c r="H120" s="181"/>
      <c r="I120" s="181"/>
      <c r="J120" s="14"/>
      <c r="K120" s="14"/>
      <c r="L120" s="14"/>
      <c r="M120" s="14"/>
      <c r="N120" s="14"/>
      <c r="O120" s="14"/>
      <c r="P120" s="14"/>
      <c r="Q120" s="181"/>
      <c r="R120" s="14"/>
      <c r="S120" s="14"/>
      <c r="T120" s="14"/>
      <c r="U120" s="14"/>
      <c r="V120" s="14"/>
      <c r="W120" s="14"/>
      <c r="X120" s="14"/>
      <c r="Y120" s="14"/>
      <c r="Z120" s="14"/>
      <c r="AA120" s="14"/>
      <c r="AB120" s="14"/>
      <c r="AD120" s="14"/>
      <c r="AE120" s="14"/>
      <c r="AF120" s="181"/>
      <c r="AI120" s="14"/>
      <c r="AJ120" s="14"/>
      <c r="AK120" s="181"/>
      <c r="AN120" s="14"/>
      <c r="AO120" s="14"/>
      <c r="AP120" s="193"/>
    </row>
    <row r="121" spans="1:42">
      <c r="A121" s="177"/>
      <c r="B121" s="14"/>
      <c r="C121" s="14"/>
      <c r="D121" s="14"/>
      <c r="E121" s="14"/>
      <c r="F121" s="181"/>
      <c r="G121" s="181"/>
      <c r="H121" s="181"/>
      <c r="I121" s="181"/>
      <c r="J121" s="14"/>
      <c r="K121" s="14"/>
      <c r="L121" s="14"/>
      <c r="M121" s="14"/>
      <c r="N121" s="14"/>
      <c r="O121" s="14"/>
      <c r="P121" s="14"/>
      <c r="Q121" s="181"/>
      <c r="R121" s="14"/>
      <c r="S121" s="14"/>
      <c r="T121" s="14"/>
      <c r="U121" s="14"/>
      <c r="V121" s="14"/>
      <c r="W121" s="14"/>
      <c r="X121" s="14"/>
      <c r="Y121" s="14"/>
      <c r="Z121" s="14"/>
      <c r="AA121" s="14"/>
      <c r="AB121" s="14"/>
      <c r="AD121" s="14"/>
      <c r="AE121" s="14"/>
      <c r="AF121" s="181"/>
      <c r="AI121" s="14"/>
      <c r="AJ121" s="14"/>
      <c r="AK121" s="181"/>
      <c r="AN121" s="14"/>
      <c r="AO121" s="14"/>
      <c r="AP121" s="193"/>
    </row>
    <row r="122" spans="1:42">
      <c r="A122" s="177"/>
      <c r="B122" s="14"/>
      <c r="C122" s="14"/>
      <c r="D122" s="14"/>
      <c r="E122" s="14"/>
      <c r="F122" s="181"/>
      <c r="G122" s="181"/>
      <c r="H122" s="181"/>
      <c r="I122" s="181"/>
      <c r="J122" s="14"/>
      <c r="K122" s="14"/>
      <c r="L122" s="14"/>
      <c r="M122" s="14"/>
      <c r="N122" s="14"/>
      <c r="O122" s="14"/>
      <c r="P122" s="14"/>
      <c r="Q122" s="181"/>
      <c r="R122" s="14"/>
      <c r="S122" s="14"/>
      <c r="T122" s="14"/>
      <c r="U122" s="14"/>
      <c r="V122" s="14"/>
      <c r="W122" s="14"/>
      <c r="X122" s="14"/>
      <c r="Y122" s="14"/>
      <c r="Z122" s="14"/>
      <c r="AA122" s="14"/>
      <c r="AB122" s="14"/>
      <c r="AD122" s="14"/>
      <c r="AE122" s="14"/>
      <c r="AF122" s="181"/>
      <c r="AI122" s="14"/>
      <c r="AJ122" s="14"/>
      <c r="AK122" s="181"/>
      <c r="AN122" s="14"/>
      <c r="AO122" s="14"/>
      <c r="AP122" s="193"/>
    </row>
    <row r="123" spans="1:42">
      <c r="A123" s="177"/>
      <c r="B123" s="14"/>
      <c r="C123" s="14"/>
      <c r="D123" s="14"/>
      <c r="E123" s="14"/>
      <c r="F123" s="181"/>
      <c r="G123" s="181"/>
      <c r="H123" s="181"/>
      <c r="I123" s="181"/>
      <c r="J123" s="14"/>
      <c r="K123" s="14"/>
      <c r="L123" s="14"/>
      <c r="M123" s="14"/>
      <c r="N123" s="14"/>
      <c r="O123" s="14"/>
      <c r="P123" s="14"/>
      <c r="Q123" s="181"/>
      <c r="R123" s="14"/>
      <c r="S123" s="14"/>
      <c r="T123" s="14"/>
      <c r="U123" s="14"/>
      <c r="V123" s="14"/>
      <c r="W123" s="14"/>
      <c r="X123" s="14"/>
      <c r="Y123" s="14"/>
      <c r="Z123" s="14"/>
      <c r="AA123" s="14"/>
      <c r="AB123" s="14"/>
      <c r="AD123" s="14"/>
      <c r="AE123" s="14"/>
      <c r="AF123" s="181"/>
      <c r="AI123" s="14"/>
      <c r="AJ123" s="14"/>
      <c r="AK123" s="181"/>
      <c r="AN123" s="14"/>
      <c r="AO123" s="14"/>
      <c r="AP123" s="193"/>
    </row>
    <row r="124" spans="1:42">
      <c r="A124" s="177"/>
      <c r="B124" s="14"/>
      <c r="C124" s="14"/>
      <c r="D124" s="14"/>
      <c r="E124" s="14"/>
      <c r="F124" s="181"/>
      <c r="G124" s="181"/>
      <c r="H124" s="181"/>
      <c r="I124" s="181"/>
      <c r="J124" s="14"/>
      <c r="K124" s="14"/>
      <c r="L124" s="14"/>
      <c r="M124" s="14"/>
      <c r="N124" s="14"/>
      <c r="O124" s="14"/>
      <c r="P124" s="14"/>
      <c r="Q124" s="181"/>
      <c r="R124" s="14"/>
      <c r="S124" s="14"/>
      <c r="T124" s="14"/>
      <c r="U124" s="14"/>
      <c r="V124" s="14"/>
      <c r="W124" s="14"/>
      <c r="X124" s="14"/>
      <c r="Y124" s="14"/>
      <c r="Z124" s="14"/>
      <c r="AA124" s="14"/>
      <c r="AB124" s="14"/>
      <c r="AD124" s="14"/>
      <c r="AE124" s="14"/>
      <c r="AF124" s="181"/>
      <c r="AI124" s="14"/>
      <c r="AJ124" s="14"/>
      <c r="AK124" s="181"/>
      <c r="AN124" s="14"/>
      <c r="AO124" s="14"/>
      <c r="AP124" s="193"/>
    </row>
    <row r="125" spans="1:42">
      <c r="A125" s="177"/>
      <c r="B125" s="14"/>
      <c r="C125" s="14"/>
      <c r="D125" s="14"/>
      <c r="E125" s="14"/>
      <c r="F125" s="181"/>
      <c r="G125" s="181"/>
      <c r="H125" s="181"/>
      <c r="I125" s="181"/>
      <c r="J125" s="14"/>
      <c r="K125" s="14"/>
      <c r="L125" s="14"/>
      <c r="M125" s="14"/>
      <c r="N125" s="14"/>
      <c r="O125" s="14"/>
      <c r="P125" s="14"/>
      <c r="Q125" s="181"/>
      <c r="R125" s="14"/>
      <c r="S125" s="14"/>
      <c r="T125" s="14"/>
      <c r="U125" s="14"/>
      <c r="V125" s="14"/>
      <c r="W125" s="14"/>
      <c r="X125" s="14"/>
      <c r="Y125" s="14"/>
      <c r="Z125" s="14"/>
      <c r="AA125" s="14"/>
      <c r="AB125" s="14"/>
      <c r="AD125" s="14"/>
      <c r="AE125" s="14"/>
      <c r="AF125" s="181"/>
      <c r="AI125" s="14"/>
      <c r="AJ125" s="14"/>
      <c r="AK125" s="181"/>
      <c r="AN125" s="14"/>
      <c r="AO125" s="14"/>
      <c r="AP125" s="193"/>
    </row>
    <row r="126" spans="1:42">
      <c r="A126" s="177"/>
      <c r="B126" s="14"/>
      <c r="C126" s="14"/>
      <c r="D126" s="14"/>
      <c r="E126" s="14"/>
      <c r="F126" s="181"/>
      <c r="G126" s="181"/>
      <c r="H126" s="181"/>
      <c r="I126" s="181"/>
      <c r="J126" s="14"/>
      <c r="K126" s="14"/>
      <c r="L126" s="14"/>
      <c r="M126" s="14"/>
      <c r="N126" s="14"/>
      <c r="O126" s="14"/>
      <c r="P126" s="14"/>
      <c r="Q126" s="181"/>
      <c r="R126" s="14"/>
      <c r="S126" s="14"/>
      <c r="T126" s="14"/>
      <c r="U126" s="14"/>
      <c r="V126" s="14"/>
      <c r="W126" s="14"/>
      <c r="X126" s="14"/>
      <c r="Y126" s="14"/>
      <c r="Z126" s="14"/>
      <c r="AA126" s="14"/>
      <c r="AB126" s="14"/>
      <c r="AD126" s="14"/>
      <c r="AE126" s="14"/>
      <c r="AF126" s="181"/>
      <c r="AI126" s="14"/>
      <c r="AJ126" s="14"/>
      <c r="AK126" s="181"/>
      <c r="AN126" s="14"/>
      <c r="AO126" s="14"/>
      <c r="AP126" s="193"/>
    </row>
    <row r="127" spans="1:42">
      <c r="A127" s="177"/>
      <c r="B127" s="14"/>
      <c r="C127" s="14"/>
      <c r="D127" s="14"/>
      <c r="E127" s="14"/>
      <c r="F127" s="181"/>
      <c r="G127" s="181"/>
      <c r="H127" s="181"/>
      <c r="I127" s="181"/>
      <c r="J127" s="14"/>
      <c r="K127" s="14"/>
      <c r="L127" s="14"/>
      <c r="M127" s="14"/>
      <c r="N127" s="14"/>
      <c r="O127" s="14"/>
      <c r="P127" s="14"/>
      <c r="Q127" s="181"/>
      <c r="R127" s="14"/>
      <c r="S127" s="14"/>
      <c r="T127" s="14"/>
      <c r="U127" s="14"/>
      <c r="V127" s="14"/>
      <c r="W127" s="14"/>
      <c r="X127" s="14"/>
      <c r="Y127" s="14"/>
      <c r="Z127" s="14"/>
      <c r="AA127" s="14"/>
      <c r="AB127" s="14"/>
      <c r="AD127" s="14"/>
      <c r="AE127" s="14"/>
      <c r="AF127" s="181"/>
      <c r="AI127" s="14"/>
      <c r="AJ127" s="14"/>
      <c r="AK127" s="181"/>
      <c r="AN127" s="14"/>
      <c r="AO127" s="14"/>
      <c r="AP127" s="193"/>
    </row>
    <row r="128" spans="1:42">
      <c r="A128" s="177"/>
      <c r="B128" s="14"/>
      <c r="C128" s="14"/>
      <c r="D128" s="14"/>
      <c r="E128" s="14"/>
      <c r="F128" s="181"/>
      <c r="G128" s="181"/>
      <c r="H128" s="181"/>
      <c r="I128" s="181"/>
      <c r="J128" s="14"/>
      <c r="K128" s="14"/>
      <c r="L128" s="14"/>
      <c r="M128" s="14"/>
      <c r="N128" s="14"/>
      <c r="O128" s="14"/>
      <c r="P128" s="14"/>
      <c r="Q128" s="181"/>
      <c r="R128" s="14"/>
      <c r="S128" s="14"/>
      <c r="T128" s="14"/>
      <c r="U128" s="14"/>
      <c r="V128" s="14"/>
      <c r="W128" s="14"/>
      <c r="X128" s="14"/>
      <c r="Y128" s="14"/>
      <c r="Z128" s="14"/>
      <c r="AA128" s="14"/>
      <c r="AB128" s="14"/>
      <c r="AD128" s="14"/>
      <c r="AE128" s="14"/>
      <c r="AF128" s="181"/>
      <c r="AI128" s="14"/>
      <c r="AJ128" s="14"/>
      <c r="AK128" s="181"/>
      <c r="AN128" s="14"/>
      <c r="AO128" s="14"/>
      <c r="AP128" s="193"/>
    </row>
    <row r="129" spans="1:42">
      <c r="A129" s="177"/>
      <c r="B129" s="14"/>
      <c r="C129" s="14"/>
      <c r="D129" s="14"/>
      <c r="E129" s="14"/>
      <c r="F129" s="181"/>
      <c r="G129" s="181"/>
      <c r="H129" s="181"/>
      <c r="I129" s="181"/>
      <c r="J129" s="14"/>
      <c r="K129" s="14"/>
      <c r="L129" s="14"/>
      <c r="M129" s="14"/>
      <c r="N129" s="14"/>
      <c r="O129" s="14"/>
      <c r="P129" s="14"/>
      <c r="Q129" s="181"/>
      <c r="R129" s="14"/>
      <c r="S129" s="14"/>
      <c r="T129" s="14"/>
      <c r="U129" s="14"/>
      <c r="V129" s="14"/>
      <c r="W129" s="14"/>
      <c r="X129" s="14"/>
      <c r="Y129" s="14"/>
      <c r="Z129" s="14"/>
      <c r="AA129" s="14"/>
      <c r="AB129" s="14"/>
      <c r="AD129" s="14"/>
      <c r="AE129" s="14"/>
      <c r="AF129" s="181"/>
      <c r="AI129" s="14"/>
      <c r="AJ129" s="14"/>
      <c r="AK129" s="181"/>
      <c r="AN129" s="14"/>
      <c r="AO129" s="14"/>
      <c r="AP129" s="193"/>
    </row>
    <row r="130" spans="1:42">
      <c r="A130" s="177"/>
      <c r="B130" s="14"/>
      <c r="C130" s="14"/>
      <c r="D130" s="14"/>
      <c r="E130" s="14"/>
      <c r="F130" s="181"/>
      <c r="G130" s="181"/>
      <c r="H130" s="181"/>
      <c r="I130" s="181"/>
      <c r="J130" s="14"/>
      <c r="K130" s="14"/>
      <c r="L130" s="14"/>
      <c r="M130" s="14"/>
      <c r="N130" s="14"/>
      <c r="O130" s="14"/>
      <c r="P130" s="14"/>
      <c r="Q130" s="181"/>
      <c r="R130" s="14"/>
      <c r="S130" s="14"/>
      <c r="T130" s="14"/>
      <c r="U130" s="14"/>
      <c r="V130" s="14"/>
      <c r="W130" s="14"/>
      <c r="X130" s="14"/>
      <c r="Y130" s="14"/>
      <c r="Z130" s="14"/>
      <c r="AA130" s="14"/>
      <c r="AB130" s="14"/>
      <c r="AD130" s="14"/>
      <c r="AE130" s="14"/>
      <c r="AF130" s="181"/>
      <c r="AI130" s="14"/>
      <c r="AJ130" s="14"/>
      <c r="AK130" s="181"/>
      <c r="AN130" s="14"/>
      <c r="AO130" s="14"/>
      <c r="AP130" s="193"/>
    </row>
    <row r="131" spans="1:42">
      <c r="A131" s="177"/>
      <c r="B131" s="14"/>
      <c r="C131" s="14"/>
      <c r="D131" s="14"/>
      <c r="E131" s="14"/>
      <c r="F131" s="181"/>
      <c r="G131" s="181"/>
      <c r="H131" s="181"/>
      <c r="I131" s="181"/>
      <c r="J131" s="14"/>
      <c r="K131" s="14"/>
      <c r="L131" s="14"/>
      <c r="M131" s="14"/>
      <c r="N131" s="14"/>
      <c r="O131" s="14"/>
      <c r="P131" s="14"/>
      <c r="Q131" s="181"/>
      <c r="R131" s="14"/>
      <c r="S131" s="14"/>
      <c r="T131" s="14"/>
      <c r="U131" s="14"/>
      <c r="V131" s="14"/>
      <c r="W131" s="14"/>
      <c r="X131" s="14"/>
      <c r="Y131" s="14"/>
      <c r="Z131" s="14"/>
      <c r="AA131" s="14"/>
      <c r="AB131" s="14"/>
      <c r="AD131" s="14"/>
      <c r="AE131" s="14"/>
      <c r="AF131" s="181"/>
      <c r="AI131" s="14"/>
      <c r="AJ131" s="14"/>
      <c r="AK131" s="181"/>
      <c r="AN131" s="14"/>
      <c r="AO131" s="14"/>
      <c r="AP131" s="193"/>
    </row>
    <row r="132" spans="1:42">
      <c r="A132" s="177"/>
      <c r="B132" s="14"/>
      <c r="C132" s="14"/>
      <c r="D132" s="14"/>
      <c r="E132" s="14"/>
      <c r="F132" s="181"/>
      <c r="G132" s="181"/>
      <c r="H132" s="181"/>
      <c r="I132" s="181"/>
      <c r="J132" s="14"/>
      <c r="K132" s="14"/>
      <c r="L132" s="14"/>
      <c r="M132" s="14"/>
      <c r="N132" s="14"/>
      <c r="O132" s="14"/>
      <c r="P132" s="14"/>
      <c r="Q132" s="181"/>
      <c r="R132" s="14"/>
      <c r="S132" s="14"/>
      <c r="T132" s="14"/>
      <c r="U132" s="14"/>
      <c r="V132" s="14"/>
      <c r="W132" s="14"/>
      <c r="X132" s="14"/>
      <c r="Y132" s="14"/>
      <c r="Z132" s="14"/>
      <c r="AA132" s="14"/>
      <c r="AB132" s="14"/>
      <c r="AD132" s="14"/>
      <c r="AE132" s="14"/>
      <c r="AF132" s="181"/>
      <c r="AI132" s="14"/>
      <c r="AJ132" s="14"/>
      <c r="AK132" s="181"/>
      <c r="AN132" s="14"/>
      <c r="AO132" s="14"/>
      <c r="AP132" s="193"/>
    </row>
    <row r="133" spans="1:42">
      <c r="A133" s="177"/>
      <c r="B133" s="14"/>
      <c r="C133" s="14"/>
      <c r="D133" s="14"/>
      <c r="E133" s="14"/>
      <c r="F133" s="181"/>
      <c r="G133" s="181"/>
      <c r="H133" s="181"/>
      <c r="I133" s="181"/>
      <c r="J133" s="14"/>
      <c r="K133" s="14"/>
      <c r="L133" s="14"/>
      <c r="M133" s="14"/>
      <c r="N133" s="14"/>
      <c r="O133" s="14"/>
      <c r="P133" s="14"/>
      <c r="Q133" s="181"/>
      <c r="R133" s="14"/>
      <c r="S133" s="14"/>
      <c r="T133" s="14"/>
      <c r="U133" s="14"/>
      <c r="V133" s="14"/>
      <c r="W133" s="14"/>
      <c r="X133" s="14"/>
      <c r="Y133" s="14"/>
      <c r="Z133" s="14"/>
      <c r="AA133" s="14"/>
      <c r="AB133" s="14"/>
      <c r="AD133" s="14"/>
      <c r="AE133" s="14"/>
      <c r="AF133" s="181"/>
      <c r="AI133" s="14"/>
      <c r="AJ133" s="14"/>
      <c r="AK133" s="181"/>
      <c r="AN133" s="14"/>
      <c r="AO133" s="14"/>
      <c r="AP133" s="193"/>
    </row>
    <row r="134" spans="1:42">
      <c r="A134" s="177"/>
      <c r="B134" s="14"/>
      <c r="C134" s="14"/>
      <c r="D134" s="14"/>
      <c r="E134" s="14"/>
      <c r="F134" s="181"/>
      <c r="G134" s="181"/>
      <c r="H134" s="181"/>
      <c r="I134" s="181"/>
      <c r="J134" s="14"/>
      <c r="K134" s="14"/>
      <c r="L134" s="14"/>
      <c r="M134" s="14"/>
      <c r="N134" s="14"/>
      <c r="O134" s="14"/>
      <c r="P134" s="14"/>
      <c r="Q134" s="181"/>
      <c r="R134" s="14"/>
      <c r="S134" s="14"/>
      <c r="T134" s="14"/>
      <c r="U134" s="14"/>
      <c r="V134" s="14"/>
      <c r="W134" s="14"/>
      <c r="X134" s="14"/>
      <c r="Y134" s="14"/>
      <c r="Z134" s="14"/>
      <c r="AA134" s="14"/>
      <c r="AB134" s="14"/>
      <c r="AD134" s="14"/>
      <c r="AE134" s="14"/>
      <c r="AF134" s="181"/>
      <c r="AI134" s="14"/>
      <c r="AJ134" s="14"/>
      <c r="AK134" s="181"/>
      <c r="AN134" s="14"/>
      <c r="AO134" s="14"/>
      <c r="AP134" s="193"/>
    </row>
    <row r="135" spans="1:42">
      <c r="A135" s="177"/>
      <c r="B135" s="14"/>
      <c r="C135" s="14"/>
      <c r="D135" s="14"/>
      <c r="E135" s="14"/>
      <c r="F135" s="181"/>
      <c r="G135" s="181"/>
      <c r="H135" s="181"/>
      <c r="I135" s="181"/>
      <c r="J135" s="14"/>
      <c r="K135" s="14"/>
      <c r="L135" s="14"/>
      <c r="M135" s="14"/>
      <c r="N135" s="14"/>
      <c r="O135" s="14"/>
      <c r="P135" s="14"/>
      <c r="Q135" s="181"/>
      <c r="R135" s="14"/>
      <c r="S135" s="14"/>
      <c r="T135" s="14"/>
      <c r="U135" s="14"/>
      <c r="V135" s="14"/>
      <c r="W135" s="14"/>
      <c r="X135" s="14"/>
      <c r="Y135" s="14"/>
      <c r="Z135" s="14"/>
      <c r="AA135" s="14"/>
      <c r="AB135" s="14"/>
      <c r="AD135" s="14"/>
      <c r="AE135" s="14"/>
      <c r="AF135" s="181"/>
      <c r="AI135" s="14"/>
      <c r="AJ135" s="14"/>
      <c r="AK135" s="181"/>
      <c r="AN135" s="14"/>
      <c r="AO135" s="14"/>
      <c r="AP135" s="193"/>
    </row>
    <row r="136" spans="1:42">
      <c r="A136" s="177"/>
      <c r="B136" s="14"/>
      <c r="C136" s="14"/>
      <c r="D136" s="14"/>
      <c r="E136" s="14"/>
      <c r="F136" s="181"/>
      <c r="G136" s="181"/>
      <c r="H136" s="181"/>
      <c r="I136" s="181"/>
      <c r="J136" s="14"/>
      <c r="K136" s="14"/>
      <c r="L136" s="14"/>
      <c r="M136" s="14"/>
      <c r="N136" s="14"/>
      <c r="O136" s="14"/>
      <c r="P136" s="14"/>
      <c r="Q136" s="181"/>
      <c r="R136" s="14"/>
      <c r="S136" s="14"/>
      <c r="T136" s="14"/>
      <c r="U136" s="14"/>
      <c r="V136" s="14"/>
      <c r="W136" s="14"/>
      <c r="X136" s="14"/>
      <c r="Y136" s="14"/>
      <c r="Z136" s="14"/>
      <c r="AA136" s="14"/>
      <c r="AB136" s="14"/>
      <c r="AD136" s="14"/>
      <c r="AE136" s="14"/>
      <c r="AF136" s="181"/>
      <c r="AI136" s="14"/>
      <c r="AJ136" s="14"/>
      <c r="AK136" s="181"/>
      <c r="AN136" s="14"/>
      <c r="AO136" s="14"/>
      <c r="AP136" s="193"/>
    </row>
    <row r="137" spans="1:42">
      <c r="A137" s="177"/>
      <c r="B137" s="14"/>
      <c r="C137" s="14"/>
      <c r="D137" s="14"/>
      <c r="E137" s="14"/>
      <c r="F137" s="181"/>
      <c r="G137" s="181"/>
      <c r="H137" s="181"/>
      <c r="I137" s="181"/>
      <c r="J137" s="14"/>
      <c r="K137" s="14"/>
      <c r="L137" s="14"/>
      <c r="M137" s="14"/>
      <c r="N137" s="14"/>
      <c r="O137" s="14"/>
      <c r="P137" s="14"/>
      <c r="Q137" s="181"/>
      <c r="R137" s="14"/>
      <c r="S137" s="14"/>
      <c r="T137" s="14"/>
      <c r="U137" s="14"/>
      <c r="V137" s="14"/>
      <c r="W137" s="14"/>
      <c r="X137" s="14"/>
      <c r="Y137" s="14"/>
      <c r="Z137" s="14"/>
      <c r="AA137" s="14"/>
      <c r="AB137" s="14"/>
      <c r="AD137" s="14"/>
      <c r="AE137" s="14"/>
      <c r="AF137" s="181"/>
      <c r="AI137" s="14"/>
      <c r="AJ137" s="14"/>
      <c r="AK137" s="181"/>
      <c r="AN137" s="14"/>
      <c r="AO137" s="14"/>
      <c r="AP137" s="193"/>
    </row>
    <row r="138" spans="1:42">
      <c r="A138" s="177"/>
      <c r="B138" s="14"/>
      <c r="C138" s="14"/>
      <c r="D138" s="14"/>
      <c r="E138" s="14"/>
      <c r="F138" s="181"/>
      <c r="G138" s="181"/>
      <c r="H138" s="181"/>
      <c r="I138" s="181"/>
      <c r="J138" s="14"/>
      <c r="K138" s="14"/>
      <c r="L138" s="14"/>
      <c r="M138" s="14"/>
      <c r="N138" s="14"/>
      <c r="O138" s="14"/>
      <c r="P138" s="14"/>
      <c r="Q138" s="181"/>
      <c r="R138" s="14"/>
      <c r="S138" s="14"/>
      <c r="T138" s="14"/>
      <c r="U138" s="14"/>
      <c r="V138" s="14"/>
      <c r="W138" s="14"/>
      <c r="X138" s="14"/>
      <c r="Y138" s="14"/>
      <c r="Z138" s="14"/>
      <c r="AA138" s="14"/>
      <c r="AB138" s="14"/>
      <c r="AD138" s="14"/>
      <c r="AE138" s="14"/>
      <c r="AF138" s="181"/>
      <c r="AI138" s="14"/>
      <c r="AJ138" s="14"/>
      <c r="AK138" s="181"/>
      <c r="AN138" s="14"/>
      <c r="AO138" s="14"/>
      <c r="AP138" s="193"/>
    </row>
    <row r="139" spans="1:42">
      <c r="A139" s="177"/>
      <c r="B139" s="14"/>
      <c r="C139" s="14"/>
      <c r="D139" s="14"/>
      <c r="E139" s="14"/>
      <c r="F139" s="181"/>
      <c r="G139" s="181"/>
      <c r="H139" s="181"/>
      <c r="I139" s="181"/>
      <c r="J139" s="14"/>
      <c r="K139" s="14"/>
      <c r="L139" s="14"/>
      <c r="M139" s="14"/>
      <c r="N139" s="14"/>
      <c r="O139" s="14"/>
      <c r="P139" s="14"/>
      <c r="Q139" s="181"/>
      <c r="R139" s="14"/>
      <c r="S139" s="14"/>
      <c r="T139" s="14"/>
      <c r="U139" s="14"/>
      <c r="V139" s="14"/>
      <c r="W139" s="14"/>
      <c r="X139" s="14"/>
      <c r="Y139" s="14"/>
      <c r="Z139" s="14"/>
      <c r="AA139" s="14"/>
      <c r="AB139" s="14"/>
      <c r="AD139" s="14"/>
      <c r="AE139" s="14"/>
      <c r="AF139" s="181"/>
      <c r="AI139" s="14"/>
      <c r="AJ139" s="14"/>
      <c r="AK139" s="181"/>
      <c r="AN139" s="14"/>
      <c r="AO139" s="14"/>
      <c r="AP139" s="193"/>
    </row>
    <row r="140" spans="1:42">
      <c r="A140" s="177"/>
      <c r="B140" s="14"/>
      <c r="C140" s="14"/>
      <c r="D140" s="14"/>
      <c r="E140" s="14"/>
      <c r="F140" s="181"/>
      <c r="G140" s="181"/>
      <c r="H140" s="181"/>
      <c r="I140" s="181"/>
      <c r="J140" s="14"/>
      <c r="K140" s="14"/>
      <c r="L140" s="14"/>
      <c r="M140" s="14"/>
      <c r="N140" s="14"/>
      <c r="O140" s="14"/>
      <c r="P140" s="14"/>
      <c r="Q140" s="181"/>
      <c r="R140" s="14"/>
      <c r="S140" s="14"/>
      <c r="T140" s="14"/>
      <c r="U140" s="14"/>
      <c r="V140" s="14"/>
      <c r="W140" s="14"/>
      <c r="X140" s="14"/>
      <c r="Y140" s="14"/>
      <c r="Z140" s="14"/>
      <c r="AA140" s="14"/>
      <c r="AB140" s="14"/>
      <c r="AD140" s="14"/>
      <c r="AE140" s="14"/>
      <c r="AF140" s="181"/>
      <c r="AI140" s="14"/>
      <c r="AJ140" s="14"/>
      <c r="AK140" s="181"/>
      <c r="AN140" s="14"/>
      <c r="AO140" s="14"/>
      <c r="AP140" s="193"/>
    </row>
    <row r="141" spans="1:42">
      <c r="A141" s="177"/>
      <c r="B141" s="14"/>
      <c r="C141" s="14"/>
      <c r="D141" s="14"/>
      <c r="E141" s="14"/>
      <c r="F141" s="181"/>
      <c r="G141" s="181"/>
      <c r="H141" s="181"/>
      <c r="I141" s="181"/>
      <c r="J141" s="14"/>
      <c r="K141" s="14"/>
      <c r="L141" s="14"/>
      <c r="M141" s="14"/>
      <c r="N141" s="14"/>
      <c r="O141" s="14"/>
      <c r="P141" s="14"/>
      <c r="Q141" s="181"/>
      <c r="R141" s="14"/>
      <c r="S141" s="14"/>
      <c r="T141" s="14"/>
      <c r="U141" s="14"/>
      <c r="V141" s="14"/>
      <c r="W141" s="14"/>
      <c r="X141" s="14"/>
      <c r="Y141" s="14"/>
      <c r="Z141" s="14"/>
      <c r="AA141" s="14"/>
      <c r="AB141" s="14"/>
      <c r="AD141" s="14"/>
      <c r="AE141" s="14"/>
      <c r="AF141" s="181"/>
      <c r="AI141" s="14"/>
      <c r="AJ141" s="14"/>
      <c r="AK141" s="181"/>
      <c r="AN141" s="14"/>
      <c r="AO141" s="14"/>
      <c r="AP141" s="193"/>
    </row>
    <row r="142" spans="1:42">
      <c r="A142" s="177"/>
      <c r="B142" s="14"/>
      <c r="C142" s="14"/>
      <c r="D142" s="14"/>
      <c r="E142" s="14"/>
      <c r="F142" s="181"/>
      <c r="G142" s="181"/>
      <c r="H142" s="181"/>
      <c r="I142" s="181"/>
      <c r="J142" s="14"/>
      <c r="K142" s="14"/>
      <c r="L142" s="14"/>
      <c r="M142" s="14"/>
      <c r="N142" s="14"/>
      <c r="O142" s="14"/>
      <c r="P142" s="14"/>
      <c r="Q142" s="181"/>
      <c r="R142" s="14"/>
      <c r="S142" s="14"/>
      <c r="T142" s="14"/>
      <c r="U142" s="14"/>
      <c r="V142" s="14"/>
      <c r="W142" s="14"/>
      <c r="X142" s="14"/>
      <c r="Y142" s="14"/>
      <c r="Z142" s="14"/>
      <c r="AA142" s="14"/>
      <c r="AB142" s="14"/>
      <c r="AD142" s="14"/>
      <c r="AE142" s="14"/>
      <c r="AF142" s="181"/>
      <c r="AI142" s="14"/>
      <c r="AJ142" s="14"/>
      <c r="AK142" s="181"/>
      <c r="AN142" s="14"/>
      <c r="AO142" s="14"/>
      <c r="AP142" s="193"/>
    </row>
    <row r="143" spans="1:42">
      <c r="A143" s="177"/>
      <c r="B143" s="14"/>
      <c r="C143" s="14"/>
      <c r="D143" s="14"/>
      <c r="E143" s="14"/>
      <c r="F143" s="181"/>
      <c r="G143" s="181"/>
      <c r="H143" s="181"/>
      <c r="I143" s="181"/>
      <c r="J143" s="14"/>
      <c r="K143" s="14"/>
      <c r="L143" s="14"/>
      <c r="M143" s="14"/>
      <c r="N143" s="14"/>
      <c r="O143" s="14"/>
      <c r="P143" s="14"/>
      <c r="Q143" s="181"/>
      <c r="R143" s="14"/>
      <c r="S143" s="14"/>
      <c r="T143" s="14"/>
      <c r="U143" s="14"/>
      <c r="V143" s="14"/>
      <c r="W143" s="14"/>
      <c r="X143" s="14"/>
      <c r="Y143" s="14"/>
      <c r="Z143" s="14"/>
      <c r="AA143" s="14"/>
      <c r="AB143" s="14"/>
      <c r="AD143" s="14"/>
      <c r="AE143" s="14"/>
      <c r="AF143" s="181"/>
      <c r="AI143" s="14"/>
      <c r="AJ143" s="14"/>
      <c r="AK143" s="181"/>
      <c r="AN143" s="14"/>
      <c r="AO143" s="14"/>
      <c r="AP143" s="193"/>
    </row>
    <row r="144" spans="1:42">
      <c r="A144" s="177"/>
      <c r="B144" s="14"/>
      <c r="C144" s="14"/>
      <c r="D144" s="14"/>
      <c r="E144" s="14"/>
      <c r="F144" s="181"/>
      <c r="G144" s="181"/>
      <c r="H144" s="181"/>
      <c r="I144" s="181"/>
      <c r="J144" s="14"/>
      <c r="K144" s="14"/>
      <c r="L144" s="14"/>
      <c r="M144" s="14"/>
      <c r="N144" s="14"/>
      <c r="O144" s="14"/>
      <c r="P144" s="14"/>
      <c r="Q144" s="181"/>
      <c r="R144" s="14"/>
      <c r="S144" s="14"/>
      <c r="T144" s="14"/>
      <c r="U144" s="14"/>
      <c r="V144" s="14"/>
      <c r="W144" s="14"/>
      <c r="X144" s="14"/>
      <c r="Y144" s="14"/>
      <c r="Z144" s="14"/>
      <c r="AA144" s="14"/>
      <c r="AB144" s="14"/>
      <c r="AD144" s="14"/>
      <c r="AE144" s="14"/>
      <c r="AF144" s="181"/>
      <c r="AI144" s="14"/>
      <c r="AJ144" s="14"/>
      <c r="AK144" s="181"/>
      <c r="AN144" s="14"/>
      <c r="AO144" s="14"/>
      <c r="AP144" s="193"/>
    </row>
    <row r="145" spans="1:42">
      <c r="A145" s="177"/>
      <c r="B145" s="14"/>
      <c r="C145" s="14"/>
      <c r="D145" s="14"/>
      <c r="E145" s="14"/>
      <c r="F145" s="181"/>
      <c r="G145" s="181"/>
      <c r="H145" s="181"/>
      <c r="I145" s="181"/>
      <c r="J145" s="14"/>
      <c r="K145" s="14"/>
      <c r="L145" s="14"/>
      <c r="M145" s="14"/>
      <c r="N145" s="14"/>
      <c r="O145" s="14"/>
      <c r="P145" s="14"/>
      <c r="Q145" s="181"/>
      <c r="R145" s="14"/>
      <c r="S145" s="14"/>
      <c r="T145" s="14"/>
      <c r="U145" s="14"/>
      <c r="V145" s="14"/>
      <c r="W145" s="14"/>
      <c r="X145" s="14"/>
      <c r="Y145" s="14"/>
      <c r="Z145" s="14"/>
      <c r="AA145" s="14"/>
      <c r="AB145" s="14"/>
      <c r="AD145" s="14"/>
      <c r="AE145" s="14"/>
      <c r="AF145" s="181"/>
      <c r="AI145" s="14"/>
      <c r="AJ145" s="14"/>
      <c r="AK145" s="181"/>
      <c r="AN145" s="14"/>
      <c r="AO145" s="14"/>
      <c r="AP145" s="193"/>
    </row>
    <row r="146" spans="1:42">
      <c r="A146" s="177"/>
      <c r="B146" s="14"/>
      <c r="C146" s="14"/>
      <c r="D146" s="14"/>
      <c r="E146" s="14"/>
      <c r="F146" s="181"/>
      <c r="G146" s="181"/>
      <c r="H146" s="181"/>
      <c r="I146" s="181"/>
      <c r="J146" s="14"/>
      <c r="K146" s="14"/>
      <c r="L146" s="14"/>
      <c r="M146" s="14"/>
      <c r="N146" s="14"/>
      <c r="O146" s="14"/>
      <c r="P146" s="14"/>
      <c r="Q146" s="181"/>
      <c r="R146" s="14"/>
      <c r="S146" s="14"/>
      <c r="T146" s="14"/>
      <c r="U146" s="14"/>
      <c r="V146" s="14"/>
      <c r="W146" s="14"/>
      <c r="X146" s="14"/>
      <c r="Y146" s="14"/>
      <c r="Z146" s="14"/>
      <c r="AA146" s="14"/>
      <c r="AB146" s="14"/>
      <c r="AD146" s="14"/>
      <c r="AE146" s="14"/>
      <c r="AF146" s="181"/>
      <c r="AI146" s="14"/>
      <c r="AJ146" s="14"/>
      <c r="AK146" s="181"/>
      <c r="AN146" s="14"/>
      <c r="AO146" s="14"/>
      <c r="AP146" s="193"/>
    </row>
    <row r="147" spans="1:42">
      <c r="A147" s="177"/>
      <c r="B147" s="14"/>
      <c r="C147" s="14"/>
      <c r="D147" s="14"/>
      <c r="E147" s="14"/>
      <c r="F147" s="181"/>
      <c r="G147" s="181"/>
      <c r="H147" s="181"/>
      <c r="I147" s="181"/>
      <c r="J147" s="14"/>
      <c r="K147" s="14"/>
      <c r="L147" s="14"/>
      <c r="M147" s="14"/>
      <c r="N147" s="14"/>
      <c r="O147" s="14"/>
      <c r="P147" s="14"/>
      <c r="Q147" s="181"/>
      <c r="R147" s="14"/>
      <c r="S147" s="14"/>
      <c r="T147" s="14"/>
      <c r="U147" s="14"/>
      <c r="V147" s="14"/>
      <c r="W147" s="14"/>
      <c r="X147" s="14"/>
      <c r="Y147" s="14"/>
      <c r="Z147" s="14"/>
      <c r="AA147" s="14"/>
      <c r="AB147" s="14"/>
      <c r="AD147" s="14"/>
      <c r="AE147" s="14"/>
      <c r="AF147" s="181"/>
      <c r="AI147" s="14"/>
      <c r="AJ147" s="14"/>
      <c r="AK147" s="181"/>
      <c r="AN147" s="14"/>
      <c r="AO147" s="14"/>
      <c r="AP147" s="193"/>
    </row>
    <row r="148" spans="1:42">
      <c r="A148" s="177"/>
      <c r="B148" s="14"/>
      <c r="C148" s="14"/>
      <c r="D148" s="14"/>
      <c r="E148" s="14"/>
      <c r="F148" s="181"/>
      <c r="G148" s="181"/>
      <c r="H148" s="181"/>
      <c r="I148" s="181"/>
      <c r="J148" s="14"/>
      <c r="K148" s="14"/>
      <c r="L148" s="14"/>
      <c r="M148" s="14"/>
      <c r="N148" s="14"/>
      <c r="O148" s="14"/>
      <c r="P148" s="14"/>
      <c r="Q148" s="181"/>
      <c r="R148" s="14"/>
      <c r="S148" s="14"/>
      <c r="T148" s="14"/>
      <c r="U148" s="14"/>
      <c r="V148" s="14"/>
      <c r="W148" s="14"/>
      <c r="X148" s="14"/>
      <c r="Y148" s="14"/>
      <c r="Z148" s="14"/>
      <c r="AA148" s="14"/>
      <c r="AB148" s="14"/>
      <c r="AD148" s="14"/>
      <c r="AE148" s="14"/>
      <c r="AF148" s="181"/>
      <c r="AI148" s="14"/>
      <c r="AJ148" s="14"/>
      <c r="AK148" s="181"/>
      <c r="AN148" s="14"/>
      <c r="AO148" s="14"/>
      <c r="AP148" s="193"/>
    </row>
    <row r="149" spans="1:42">
      <c r="A149" s="177"/>
      <c r="B149" s="14"/>
      <c r="C149" s="14"/>
      <c r="D149" s="14"/>
      <c r="E149" s="14"/>
      <c r="F149" s="181"/>
      <c r="G149" s="181"/>
      <c r="H149" s="181"/>
      <c r="I149" s="181"/>
      <c r="J149" s="14"/>
      <c r="K149" s="14"/>
      <c r="L149" s="14"/>
      <c r="M149" s="14"/>
      <c r="N149" s="14"/>
      <c r="O149" s="14"/>
      <c r="P149" s="14"/>
      <c r="Q149" s="181"/>
      <c r="R149" s="14"/>
      <c r="S149" s="14"/>
      <c r="T149" s="14"/>
      <c r="U149" s="14"/>
      <c r="V149" s="14"/>
      <c r="W149" s="14"/>
      <c r="X149" s="14"/>
      <c r="Y149" s="14"/>
      <c r="Z149" s="14"/>
      <c r="AA149" s="14"/>
      <c r="AB149" s="14"/>
      <c r="AD149" s="14"/>
      <c r="AE149" s="14"/>
      <c r="AF149" s="181"/>
      <c r="AI149" s="14"/>
      <c r="AJ149" s="14"/>
      <c r="AK149" s="181"/>
      <c r="AN149" s="14"/>
      <c r="AO149" s="14"/>
      <c r="AP149" s="193"/>
    </row>
    <row r="150" spans="1:42">
      <c r="A150" s="177"/>
      <c r="B150" s="14"/>
      <c r="C150" s="14"/>
      <c r="D150" s="14"/>
      <c r="E150" s="14"/>
      <c r="F150" s="181"/>
      <c r="G150" s="181"/>
      <c r="H150" s="181"/>
      <c r="I150" s="181"/>
      <c r="J150" s="14"/>
      <c r="K150" s="14"/>
      <c r="L150" s="14"/>
      <c r="M150" s="14"/>
      <c r="N150" s="14"/>
      <c r="O150" s="14"/>
      <c r="P150" s="14"/>
      <c r="Q150" s="181"/>
      <c r="R150" s="14"/>
      <c r="S150" s="14"/>
      <c r="T150" s="14"/>
      <c r="U150" s="14"/>
      <c r="V150" s="14"/>
      <c r="W150" s="14"/>
      <c r="X150" s="14"/>
      <c r="Y150" s="14"/>
      <c r="Z150" s="14"/>
      <c r="AA150" s="14"/>
      <c r="AB150" s="14"/>
      <c r="AD150" s="14"/>
      <c r="AE150" s="14"/>
      <c r="AF150" s="181"/>
      <c r="AI150" s="14"/>
      <c r="AJ150" s="14"/>
      <c r="AK150" s="181"/>
      <c r="AN150" s="14"/>
      <c r="AO150" s="14"/>
      <c r="AP150" s="193"/>
    </row>
    <row r="151" spans="1:42">
      <c r="A151" s="177"/>
      <c r="B151" s="14"/>
      <c r="C151" s="14"/>
      <c r="D151" s="14"/>
      <c r="E151" s="14"/>
      <c r="F151" s="181"/>
      <c r="G151" s="181"/>
      <c r="H151" s="181"/>
      <c r="I151" s="181"/>
      <c r="J151" s="14"/>
      <c r="K151" s="14"/>
      <c r="L151" s="14"/>
      <c r="M151" s="14"/>
      <c r="N151" s="14"/>
      <c r="O151" s="14"/>
      <c r="P151" s="14"/>
      <c r="Q151" s="181"/>
      <c r="R151" s="14"/>
      <c r="S151" s="14"/>
      <c r="T151" s="14"/>
      <c r="U151" s="14"/>
      <c r="V151" s="14"/>
      <c r="W151" s="14"/>
      <c r="X151" s="14"/>
      <c r="Y151" s="14"/>
      <c r="Z151" s="14"/>
      <c r="AA151" s="14"/>
      <c r="AB151" s="14"/>
      <c r="AD151" s="14"/>
      <c r="AE151" s="14"/>
      <c r="AF151" s="181"/>
      <c r="AI151" s="14"/>
      <c r="AJ151" s="14"/>
      <c r="AK151" s="181"/>
      <c r="AN151" s="14"/>
      <c r="AO151" s="14"/>
      <c r="AP151" s="193"/>
    </row>
    <row r="152" spans="1:42">
      <c r="A152" s="177"/>
      <c r="B152" s="14"/>
      <c r="C152" s="14"/>
      <c r="D152" s="14"/>
      <c r="E152" s="14"/>
      <c r="F152" s="181"/>
      <c r="G152" s="181"/>
      <c r="H152" s="181"/>
      <c r="I152" s="181"/>
      <c r="J152" s="14"/>
      <c r="K152" s="14"/>
      <c r="L152" s="14"/>
      <c r="M152" s="14"/>
      <c r="N152" s="14"/>
      <c r="O152" s="14"/>
      <c r="P152" s="14"/>
      <c r="Q152" s="181"/>
      <c r="R152" s="14"/>
      <c r="S152" s="14"/>
      <c r="T152" s="14"/>
      <c r="U152" s="14"/>
      <c r="V152" s="14"/>
      <c r="W152" s="14"/>
      <c r="X152" s="14"/>
      <c r="Y152" s="14"/>
      <c r="Z152" s="14"/>
      <c r="AA152" s="14"/>
      <c r="AB152" s="14"/>
      <c r="AD152" s="14"/>
      <c r="AE152" s="14"/>
      <c r="AF152" s="181"/>
      <c r="AI152" s="14"/>
      <c r="AJ152" s="14"/>
      <c r="AK152" s="181"/>
      <c r="AN152" s="14"/>
      <c r="AO152" s="14"/>
      <c r="AP152" s="193"/>
    </row>
    <row r="153" spans="1:42">
      <c r="A153" s="177"/>
      <c r="B153" s="14"/>
      <c r="C153" s="14"/>
      <c r="D153" s="14"/>
      <c r="E153" s="14"/>
      <c r="F153" s="181"/>
      <c r="G153" s="181"/>
      <c r="H153" s="181"/>
      <c r="I153" s="181"/>
      <c r="J153" s="14"/>
      <c r="K153" s="14"/>
      <c r="L153" s="14"/>
      <c r="M153" s="14"/>
      <c r="N153" s="14"/>
      <c r="O153" s="14"/>
      <c r="P153" s="14"/>
      <c r="Q153" s="181"/>
      <c r="R153" s="14"/>
      <c r="S153" s="14"/>
      <c r="T153" s="14"/>
      <c r="U153" s="14"/>
      <c r="V153" s="14"/>
      <c r="W153" s="14"/>
      <c r="X153" s="14"/>
      <c r="Y153" s="14"/>
      <c r="Z153" s="14"/>
      <c r="AA153" s="14"/>
      <c r="AB153" s="14"/>
      <c r="AD153" s="14"/>
      <c r="AE153" s="14"/>
      <c r="AF153" s="181"/>
      <c r="AI153" s="14"/>
      <c r="AJ153" s="14"/>
      <c r="AK153" s="181"/>
      <c r="AN153" s="14"/>
      <c r="AO153" s="14"/>
      <c r="AP153" s="193"/>
    </row>
    <row r="154" spans="1:42">
      <c r="A154" s="177"/>
      <c r="B154" s="14"/>
      <c r="C154" s="14"/>
      <c r="D154" s="14"/>
      <c r="E154" s="14"/>
      <c r="F154" s="181"/>
      <c r="G154" s="181"/>
      <c r="H154" s="181"/>
      <c r="I154" s="181"/>
      <c r="J154" s="14"/>
      <c r="K154" s="14"/>
      <c r="L154" s="14"/>
      <c r="M154" s="14"/>
      <c r="N154" s="14"/>
      <c r="O154" s="14"/>
      <c r="P154" s="14"/>
      <c r="Q154" s="181"/>
      <c r="R154" s="14"/>
      <c r="S154" s="14"/>
      <c r="T154" s="14"/>
      <c r="U154" s="14"/>
      <c r="V154" s="14"/>
      <c r="W154" s="14"/>
      <c r="X154" s="14"/>
      <c r="Y154" s="14"/>
      <c r="Z154" s="14"/>
      <c r="AA154" s="14"/>
      <c r="AB154" s="14"/>
      <c r="AD154" s="14"/>
      <c r="AE154" s="14"/>
      <c r="AF154" s="181"/>
      <c r="AI154" s="14"/>
      <c r="AJ154" s="14"/>
      <c r="AK154" s="181"/>
      <c r="AN154" s="14"/>
      <c r="AO154" s="14"/>
      <c r="AP154" s="193"/>
    </row>
    <row r="155" spans="1:42">
      <c r="A155" s="177"/>
      <c r="B155" s="14"/>
      <c r="C155" s="14"/>
      <c r="D155" s="14"/>
      <c r="E155" s="14"/>
      <c r="F155" s="181"/>
      <c r="G155" s="181"/>
      <c r="H155" s="181"/>
      <c r="I155" s="181"/>
      <c r="J155" s="14"/>
      <c r="K155" s="14"/>
      <c r="L155" s="14"/>
      <c r="M155" s="14"/>
      <c r="N155" s="14"/>
      <c r="O155" s="14"/>
      <c r="P155" s="14"/>
      <c r="Q155" s="181"/>
      <c r="R155" s="14"/>
      <c r="S155" s="14"/>
      <c r="T155" s="14"/>
      <c r="U155" s="14"/>
      <c r="V155" s="14"/>
      <c r="W155" s="14"/>
      <c r="X155" s="14"/>
      <c r="Y155" s="14"/>
      <c r="Z155" s="14"/>
      <c r="AA155" s="14"/>
      <c r="AB155" s="14"/>
      <c r="AD155" s="14"/>
      <c r="AE155" s="14"/>
      <c r="AF155" s="181"/>
      <c r="AI155" s="14"/>
      <c r="AJ155" s="14"/>
      <c r="AK155" s="181"/>
      <c r="AN155" s="14"/>
      <c r="AO155" s="14"/>
      <c r="AP155" s="193"/>
    </row>
    <row r="156" spans="1:42">
      <c r="A156" s="177"/>
      <c r="B156" s="14"/>
      <c r="C156" s="14"/>
      <c r="D156" s="14"/>
      <c r="E156" s="14"/>
      <c r="F156" s="181"/>
      <c r="G156" s="181"/>
      <c r="H156" s="181"/>
      <c r="I156" s="181"/>
      <c r="J156" s="14"/>
      <c r="K156" s="14"/>
      <c r="L156" s="14"/>
      <c r="M156" s="14"/>
      <c r="N156" s="14"/>
      <c r="O156" s="14"/>
      <c r="P156" s="14"/>
      <c r="Q156" s="181"/>
      <c r="R156" s="14"/>
      <c r="S156" s="14"/>
      <c r="T156" s="14"/>
      <c r="U156" s="14"/>
      <c r="V156" s="14"/>
      <c r="W156" s="14"/>
      <c r="X156" s="14"/>
      <c r="Y156" s="14"/>
      <c r="Z156" s="14"/>
      <c r="AA156" s="14"/>
      <c r="AB156" s="14"/>
      <c r="AD156" s="14"/>
      <c r="AE156" s="14"/>
      <c r="AF156" s="181"/>
      <c r="AI156" s="14"/>
      <c r="AJ156" s="14"/>
      <c r="AK156" s="181"/>
      <c r="AN156" s="14"/>
      <c r="AO156" s="14"/>
      <c r="AP156" s="193"/>
    </row>
    <row r="157" spans="1:42">
      <c r="A157" s="177"/>
      <c r="B157" s="14"/>
      <c r="C157" s="14"/>
      <c r="D157" s="14"/>
      <c r="E157" s="14"/>
      <c r="F157" s="181"/>
      <c r="G157" s="181"/>
      <c r="H157" s="181"/>
      <c r="I157" s="181"/>
      <c r="J157" s="14"/>
      <c r="K157" s="14"/>
      <c r="L157" s="14"/>
      <c r="M157" s="14"/>
      <c r="N157" s="14"/>
      <c r="O157" s="14"/>
      <c r="P157" s="14"/>
      <c r="Q157" s="181"/>
      <c r="R157" s="14"/>
      <c r="S157" s="14"/>
      <c r="T157" s="14"/>
      <c r="U157" s="14"/>
      <c r="V157" s="14"/>
      <c r="W157" s="14"/>
      <c r="X157" s="14"/>
      <c r="Y157" s="14"/>
      <c r="Z157" s="14"/>
      <c r="AA157" s="14"/>
      <c r="AB157" s="14"/>
      <c r="AD157" s="14"/>
      <c r="AE157" s="14"/>
      <c r="AF157" s="181"/>
      <c r="AI157" s="14"/>
      <c r="AJ157" s="14"/>
      <c r="AK157" s="181"/>
      <c r="AN157" s="14"/>
      <c r="AO157" s="14"/>
      <c r="AP157" s="193"/>
    </row>
    <row r="158" spans="1:42">
      <c r="A158" s="177"/>
      <c r="B158" s="14"/>
      <c r="C158" s="14"/>
      <c r="D158" s="14"/>
      <c r="E158" s="14"/>
      <c r="F158" s="181"/>
      <c r="G158" s="181"/>
      <c r="H158" s="181"/>
      <c r="I158" s="181"/>
      <c r="J158" s="14"/>
      <c r="K158" s="14"/>
      <c r="L158" s="14"/>
      <c r="M158" s="14"/>
      <c r="N158" s="14"/>
      <c r="O158" s="14"/>
      <c r="P158" s="14"/>
      <c r="Q158" s="181"/>
      <c r="R158" s="14"/>
      <c r="S158" s="14"/>
      <c r="T158" s="14"/>
      <c r="U158" s="14"/>
      <c r="V158" s="14"/>
      <c r="W158" s="14"/>
      <c r="X158" s="14"/>
      <c r="Y158" s="14"/>
      <c r="Z158" s="14"/>
      <c r="AA158" s="14"/>
      <c r="AB158" s="14"/>
      <c r="AD158" s="14"/>
      <c r="AE158" s="14"/>
      <c r="AF158" s="181"/>
      <c r="AI158" s="14"/>
      <c r="AJ158" s="14"/>
      <c r="AK158" s="181"/>
      <c r="AN158" s="14"/>
      <c r="AO158" s="14"/>
      <c r="AP158" s="193"/>
    </row>
    <row r="159" spans="1:42">
      <c r="A159" s="177"/>
      <c r="B159" s="14"/>
      <c r="C159" s="14"/>
      <c r="D159" s="14"/>
      <c r="E159" s="14"/>
      <c r="F159" s="181"/>
      <c r="G159" s="181"/>
      <c r="H159" s="181"/>
      <c r="I159" s="181"/>
      <c r="J159" s="14"/>
      <c r="K159" s="14"/>
      <c r="L159" s="14"/>
      <c r="M159" s="14"/>
      <c r="N159" s="14"/>
      <c r="O159" s="14"/>
      <c r="P159" s="14"/>
      <c r="Q159" s="181"/>
      <c r="R159" s="14"/>
      <c r="S159" s="14"/>
      <c r="T159" s="14"/>
      <c r="U159" s="14"/>
      <c r="V159" s="14"/>
      <c r="W159" s="14"/>
      <c r="X159" s="14"/>
      <c r="Y159" s="14"/>
      <c r="Z159" s="14"/>
      <c r="AA159" s="14"/>
      <c r="AB159" s="14"/>
      <c r="AD159" s="14"/>
      <c r="AE159" s="14"/>
      <c r="AF159" s="181"/>
      <c r="AI159" s="14"/>
      <c r="AJ159" s="14"/>
      <c r="AK159" s="181"/>
      <c r="AN159" s="14"/>
      <c r="AO159" s="14"/>
      <c r="AP159" s="193"/>
    </row>
    <row r="160" spans="1:42">
      <c r="A160" s="177"/>
      <c r="B160" s="14"/>
      <c r="C160" s="14"/>
      <c r="D160" s="14"/>
      <c r="E160" s="14"/>
      <c r="F160" s="181"/>
      <c r="G160" s="181"/>
      <c r="H160" s="181"/>
      <c r="I160" s="181"/>
      <c r="J160" s="14"/>
      <c r="K160" s="14"/>
      <c r="L160" s="14"/>
      <c r="M160" s="14"/>
      <c r="N160" s="14"/>
      <c r="O160" s="14"/>
      <c r="P160" s="14"/>
      <c r="Q160" s="181"/>
      <c r="R160" s="14"/>
      <c r="S160" s="14"/>
      <c r="T160" s="14"/>
      <c r="U160" s="14"/>
      <c r="V160" s="14"/>
      <c r="W160" s="14"/>
      <c r="X160" s="14"/>
      <c r="Y160" s="14"/>
      <c r="Z160" s="14"/>
      <c r="AA160" s="14"/>
      <c r="AB160" s="14"/>
      <c r="AD160" s="14"/>
      <c r="AE160" s="14"/>
      <c r="AF160" s="181"/>
      <c r="AI160" s="14"/>
      <c r="AJ160" s="14"/>
      <c r="AK160" s="181"/>
      <c r="AN160" s="14"/>
      <c r="AO160" s="14"/>
      <c r="AP160" s="193"/>
    </row>
    <row r="161" spans="1:42">
      <c r="A161" s="177"/>
      <c r="B161" s="14"/>
      <c r="C161" s="14"/>
      <c r="D161" s="14"/>
      <c r="E161" s="14"/>
      <c r="F161" s="181"/>
      <c r="G161" s="181"/>
      <c r="H161" s="181"/>
      <c r="I161" s="181"/>
      <c r="J161" s="14"/>
      <c r="K161" s="14"/>
      <c r="L161" s="14"/>
      <c r="M161" s="14"/>
      <c r="N161" s="14"/>
      <c r="O161" s="14"/>
      <c r="P161" s="14"/>
      <c r="Q161" s="181"/>
      <c r="R161" s="14"/>
      <c r="S161" s="14"/>
      <c r="T161" s="14"/>
      <c r="U161" s="14"/>
      <c r="V161" s="14"/>
      <c r="W161" s="14"/>
      <c r="X161" s="14"/>
      <c r="Y161" s="14"/>
      <c r="Z161" s="14"/>
      <c r="AA161" s="14"/>
      <c r="AB161" s="14"/>
      <c r="AD161" s="14"/>
      <c r="AE161" s="14"/>
      <c r="AF161" s="181"/>
      <c r="AI161" s="14"/>
      <c r="AJ161" s="14"/>
      <c r="AK161" s="181"/>
      <c r="AN161" s="14"/>
      <c r="AO161" s="14"/>
      <c r="AP161" s="193"/>
    </row>
    <row r="162" spans="1:42">
      <c r="A162" s="177"/>
      <c r="B162" s="14"/>
      <c r="C162" s="14"/>
      <c r="D162" s="14"/>
      <c r="E162" s="14"/>
      <c r="F162" s="181"/>
      <c r="G162" s="181"/>
      <c r="H162" s="181"/>
      <c r="I162" s="181"/>
      <c r="J162" s="14"/>
      <c r="K162" s="14"/>
      <c r="L162" s="14"/>
      <c r="M162" s="14"/>
      <c r="N162" s="14"/>
      <c r="O162" s="14"/>
      <c r="P162" s="14"/>
      <c r="Q162" s="181"/>
      <c r="R162" s="14"/>
      <c r="S162" s="14"/>
      <c r="T162" s="14"/>
      <c r="U162" s="14"/>
      <c r="V162" s="14"/>
      <c r="W162" s="14"/>
      <c r="X162" s="14"/>
      <c r="Y162" s="14"/>
      <c r="Z162" s="14"/>
      <c r="AA162" s="14"/>
      <c r="AB162" s="14"/>
      <c r="AD162" s="14"/>
      <c r="AE162" s="14"/>
      <c r="AF162" s="181"/>
      <c r="AI162" s="14"/>
      <c r="AJ162" s="14"/>
      <c r="AK162" s="181"/>
      <c r="AN162" s="14"/>
      <c r="AO162" s="14"/>
      <c r="AP162" s="193"/>
    </row>
    <row r="163" spans="1:42">
      <c r="A163" s="177"/>
      <c r="B163" s="14"/>
      <c r="C163" s="14"/>
      <c r="D163" s="14"/>
      <c r="E163" s="14"/>
      <c r="F163" s="181"/>
      <c r="G163" s="181"/>
      <c r="H163" s="181"/>
      <c r="I163" s="181"/>
      <c r="J163" s="14"/>
      <c r="K163" s="14"/>
      <c r="L163" s="14"/>
      <c r="M163" s="14"/>
      <c r="N163" s="14"/>
      <c r="O163" s="14"/>
      <c r="P163" s="14"/>
      <c r="Q163" s="181"/>
      <c r="R163" s="14"/>
      <c r="S163" s="14"/>
      <c r="T163" s="14"/>
      <c r="U163" s="14"/>
      <c r="V163" s="14"/>
      <c r="W163" s="14"/>
      <c r="X163" s="14"/>
      <c r="Y163" s="14"/>
      <c r="Z163" s="14"/>
      <c r="AA163" s="14"/>
      <c r="AB163" s="14"/>
      <c r="AD163" s="14"/>
      <c r="AE163" s="14"/>
      <c r="AF163" s="181"/>
      <c r="AI163" s="14"/>
      <c r="AJ163" s="14"/>
      <c r="AK163" s="181"/>
      <c r="AN163" s="14"/>
      <c r="AO163" s="14"/>
      <c r="AP163" s="193"/>
    </row>
    <row r="164" spans="1:42">
      <c r="A164" s="177"/>
      <c r="B164" s="14"/>
      <c r="C164" s="14"/>
      <c r="D164" s="14"/>
      <c r="E164" s="14"/>
      <c r="F164" s="181"/>
      <c r="G164" s="181"/>
      <c r="H164" s="181"/>
      <c r="I164" s="181"/>
      <c r="J164" s="14"/>
      <c r="K164" s="14"/>
      <c r="L164" s="14"/>
      <c r="M164" s="14"/>
      <c r="N164" s="14"/>
      <c r="O164" s="14"/>
      <c r="P164" s="14"/>
      <c r="Q164" s="181"/>
      <c r="R164" s="14"/>
      <c r="S164" s="14"/>
      <c r="T164" s="14"/>
      <c r="U164" s="14"/>
      <c r="V164" s="14"/>
      <c r="W164" s="14"/>
      <c r="X164" s="14"/>
      <c r="Y164" s="14"/>
      <c r="Z164" s="14"/>
      <c r="AA164" s="14"/>
      <c r="AB164" s="14"/>
      <c r="AD164" s="14"/>
      <c r="AE164" s="14"/>
      <c r="AF164" s="181"/>
      <c r="AI164" s="14"/>
      <c r="AJ164" s="14"/>
      <c r="AK164" s="181"/>
      <c r="AN164" s="14"/>
      <c r="AO164" s="14"/>
      <c r="AP164" s="193"/>
    </row>
    <row r="165" spans="1:42">
      <c r="A165" s="177"/>
      <c r="B165" s="14"/>
      <c r="C165" s="14"/>
      <c r="D165" s="14"/>
      <c r="E165" s="14"/>
      <c r="F165" s="181"/>
      <c r="G165" s="181"/>
      <c r="H165" s="181"/>
      <c r="I165" s="181"/>
      <c r="J165" s="14"/>
      <c r="K165" s="14"/>
      <c r="L165" s="14"/>
      <c r="M165" s="14"/>
      <c r="N165" s="14"/>
      <c r="O165" s="14"/>
      <c r="P165" s="14"/>
      <c r="Q165" s="181"/>
      <c r="R165" s="14"/>
      <c r="S165" s="14"/>
      <c r="T165" s="14"/>
      <c r="U165" s="14"/>
      <c r="V165" s="14"/>
      <c r="W165" s="14"/>
      <c r="X165" s="14"/>
      <c r="Y165" s="14"/>
      <c r="Z165" s="14"/>
      <c r="AA165" s="14"/>
      <c r="AB165" s="14"/>
      <c r="AD165" s="14"/>
      <c r="AE165" s="14"/>
      <c r="AF165" s="181"/>
      <c r="AI165" s="14"/>
      <c r="AJ165" s="14"/>
      <c r="AK165" s="181"/>
      <c r="AN165" s="14"/>
      <c r="AO165" s="14"/>
      <c r="AP165" s="193"/>
    </row>
    <row r="166" spans="1:42">
      <c r="A166" s="177"/>
      <c r="B166" s="14"/>
      <c r="C166" s="14"/>
      <c r="D166" s="14"/>
      <c r="E166" s="14"/>
      <c r="F166" s="181"/>
      <c r="G166" s="181"/>
      <c r="H166" s="181"/>
      <c r="I166" s="181"/>
      <c r="J166" s="14"/>
      <c r="K166" s="14"/>
      <c r="L166" s="14"/>
      <c r="M166" s="14"/>
      <c r="N166" s="14"/>
      <c r="O166" s="14"/>
      <c r="P166" s="14"/>
      <c r="Q166" s="181"/>
      <c r="R166" s="14"/>
      <c r="S166" s="14"/>
      <c r="T166" s="14"/>
      <c r="U166" s="14"/>
      <c r="V166" s="14"/>
      <c r="W166" s="14"/>
      <c r="X166" s="14"/>
      <c r="Y166" s="14"/>
      <c r="Z166" s="14"/>
      <c r="AA166" s="14"/>
      <c r="AB166" s="14"/>
      <c r="AD166" s="14"/>
      <c r="AE166" s="14"/>
      <c r="AF166" s="181"/>
      <c r="AI166" s="14"/>
      <c r="AJ166" s="14"/>
      <c r="AK166" s="181"/>
      <c r="AN166" s="14"/>
      <c r="AO166" s="14"/>
      <c r="AP166" s="193"/>
    </row>
    <row r="167" spans="1:42">
      <c r="A167" s="177"/>
      <c r="B167" s="14"/>
      <c r="C167" s="14"/>
      <c r="D167" s="14"/>
      <c r="E167" s="14"/>
      <c r="F167" s="181"/>
      <c r="G167" s="181"/>
      <c r="H167" s="181"/>
      <c r="I167" s="181"/>
      <c r="J167" s="14"/>
      <c r="K167" s="14"/>
      <c r="L167" s="14"/>
      <c r="M167" s="14"/>
      <c r="N167" s="14"/>
      <c r="O167" s="14"/>
      <c r="P167" s="14"/>
      <c r="Q167" s="181"/>
      <c r="R167" s="14"/>
      <c r="S167" s="14"/>
      <c r="T167" s="14"/>
      <c r="U167" s="14"/>
      <c r="V167" s="14"/>
      <c r="W167" s="14"/>
      <c r="X167" s="14"/>
      <c r="Y167" s="14"/>
      <c r="Z167" s="14"/>
      <c r="AA167" s="14"/>
      <c r="AB167" s="14"/>
      <c r="AD167" s="14"/>
      <c r="AE167" s="14"/>
      <c r="AF167" s="181"/>
      <c r="AI167" s="14"/>
      <c r="AJ167" s="14"/>
      <c r="AK167" s="181"/>
      <c r="AN167" s="14"/>
      <c r="AO167" s="14"/>
      <c r="AP167" s="193"/>
    </row>
    <row r="168" spans="1:42">
      <c r="A168" s="177"/>
      <c r="B168" s="14"/>
      <c r="C168" s="14"/>
      <c r="D168" s="14"/>
      <c r="E168" s="14"/>
      <c r="F168" s="181"/>
      <c r="G168" s="181"/>
      <c r="H168" s="181"/>
      <c r="I168" s="181"/>
      <c r="J168" s="14"/>
      <c r="K168" s="14"/>
      <c r="L168" s="14"/>
      <c r="M168" s="14"/>
      <c r="N168" s="14"/>
      <c r="O168" s="14"/>
      <c r="P168" s="14"/>
      <c r="Q168" s="181"/>
      <c r="R168" s="14"/>
      <c r="S168" s="14"/>
      <c r="T168" s="14"/>
      <c r="U168" s="14"/>
      <c r="V168" s="14"/>
      <c r="W168" s="14"/>
      <c r="X168" s="14"/>
      <c r="Y168" s="14"/>
      <c r="Z168" s="14"/>
      <c r="AA168" s="14"/>
      <c r="AB168" s="14"/>
      <c r="AD168" s="14"/>
      <c r="AE168" s="14"/>
      <c r="AF168" s="181"/>
      <c r="AI168" s="14"/>
      <c r="AJ168" s="14"/>
      <c r="AK168" s="181"/>
      <c r="AN168" s="14"/>
      <c r="AO168" s="14"/>
      <c r="AP168" s="193"/>
    </row>
    <row r="169" spans="1:42">
      <c r="A169" s="177"/>
      <c r="B169" s="14"/>
      <c r="C169" s="14"/>
      <c r="D169" s="14"/>
      <c r="E169" s="14"/>
      <c r="F169" s="181"/>
      <c r="G169" s="181"/>
      <c r="H169" s="181"/>
      <c r="I169" s="181"/>
      <c r="J169" s="14"/>
      <c r="K169" s="14"/>
      <c r="L169" s="14"/>
      <c r="M169" s="14"/>
      <c r="N169" s="14"/>
      <c r="O169" s="14"/>
      <c r="P169" s="14"/>
      <c r="Q169" s="181"/>
      <c r="R169" s="14"/>
      <c r="S169" s="14"/>
      <c r="T169" s="14"/>
      <c r="U169" s="14"/>
      <c r="V169" s="14"/>
      <c r="W169" s="14"/>
      <c r="X169" s="14"/>
      <c r="Y169" s="14"/>
      <c r="Z169" s="14"/>
      <c r="AA169" s="14"/>
      <c r="AB169" s="14"/>
      <c r="AD169" s="14"/>
      <c r="AE169" s="14"/>
      <c r="AF169" s="181"/>
      <c r="AI169" s="14"/>
      <c r="AJ169" s="14"/>
      <c r="AK169" s="181"/>
      <c r="AN169" s="14"/>
      <c r="AO169" s="14"/>
      <c r="AP169" s="193"/>
    </row>
    <row r="170" spans="1:42">
      <c r="A170" s="177"/>
      <c r="B170" s="14"/>
      <c r="C170" s="14"/>
      <c r="D170" s="14"/>
      <c r="E170" s="14"/>
      <c r="F170" s="181"/>
      <c r="G170" s="181"/>
      <c r="H170" s="181"/>
      <c r="I170" s="181"/>
      <c r="J170" s="14"/>
      <c r="K170" s="14"/>
      <c r="L170" s="14"/>
      <c r="M170" s="14"/>
      <c r="N170" s="14"/>
      <c r="O170" s="14"/>
      <c r="P170" s="14"/>
      <c r="Q170" s="181"/>
      <c r="R170" s="14"/>
      <c r="S170" s="14"/>
      <c r="T170" s="14"/>
      <c r="U170" s="14"/>
      <c r="V170" s="14"/>
      <c r="W170" s="14"/>
      <c r="X170" s="14"/>
      <c r="Y170" s="14"/>
      <c r="Z170" s="14"/>
      <c r="AA170" s="14"/>
      <c r="AB170" s="14"/>
      <c r="AD170" s="14"/>
      <c r="AE170" s="14"/>
      <c r="AF170" s="181"/>
      <c r="AI170" s="14"/>
      <c r="AJ170" s="14"/>
      <c r="AK170" s="181"/>
      <c r="AN170" s="14"/>
      <c r="AO170" s="14"/>
      <c r="AP170" s="193"/>
    </row>
    <row r="171" spans="1:42">
      <c r="A171" s="177"/>
      <c r="B171" s="14"/>
      <c r="C171" s="14"/>
      <c r="D171" s="14"/>
      <c r="E171" s="14"/>
      <c r="F171" s="181"/>
      <c r="G171" s="181"/>
      <c r="H171" s="181"/>
      <c r="I171" s="181"/>
      <c r="J171" s="14"/>
      <c r="K171" s="14"/>
      <c r="L171" s="14"/>
      <c r="M171" s="14"/>
      <c r="N171" s="14"/>
      <c r="O171" s="14"/>
      <c r="P171" s="14"/>
      <c r="Q171" s="181"/>
      <c r="R171" s="14"/>
      <c r="S171" s="14"/>
      <c r="T171" s="14"/>
      <c r="U171" s="14"/>
      <c r="V171" s="14"/>
      <c r="W171" s="14"/>
      <c r="X171" s="14"/>
      <c r="Y171" s="14"/>
      <c r="Z171" s="14"/>
      <c r="AA171" s="14"/>
      <c r="AB171" s="14"/>
      <c r="AD171" s="14"/>
      <c r="AE171" s="14"/>
      <c r="AF171" s="181"/>
      <c r="AI171" s="14"/>
      <c r="AJ171" s="14"/>
      <c r="AK171" s="181"/>
      <c r="AN171" s="14"/>
      <c r="AO171" s="14"/>
      <c r="AP171" s="193"/>
    </row>
    <row r="172" spans="1:42">
      <c r="A172" s="177"/>
      <c r="B172" s="14"/>
      <c r="C172" s="14"/>
      <c r="D172" s="14"/>
      <c r="E172" s="14"/>
      <c r="F172" s="181"/>
      <c r="G172" s="181"/>
      <c r="H172" s="181"/>
      <c r="I172" s="181"/>
      <c r="J172" s="14"/>
      <c r="K172" s="14"/>
      <c r="L172" s="14"/>
      <c r="M172" s="14"/>
      <c r="N172" s="14"/>
      <c r="O172" s="14"/>
      <c r="P172" s="14"/>
      <c r="Q172" s="181"/>
      <c r="R172" s="14"/>
      <c r="S172" s="14"/>
      <c r="T172" s="14"/>
      <c r="U172" s="14"/>
      <c r="V172" s="14"/>
      <c r="W172" s="14"/>
      <c r="X172" s="14"/>
      <c r="Y172" s="14"/>
      <c r="Z172" s="14"/>
      <c r="AA172" s="14"/>
      <c r="AB172" s="14"/>
      <c r="AD172" s="14"/>
      <c r="AE172" s="14"/>
      <c r="AF172" s="181"/>
      <c r="AI172" s="14"/>
      <c r="AJ172" s="14"/>
      <c r="AK172" s="181"/>
      <c r="AN172" s="14"/>
      <c r="AO172" s="14"/>
      <c r="AP172" s="193"/>
    </row>
    <row r="173" spans="1:42">
      <c r="A173" s="177"/>
      <c r="B173" s="14"/>
      <c r="C173" s="14"/>
      <c r="D173" s="14"/>
      <c r="E173" s="14"/>
      <c r="F173" s="181"/>
      <c r="G173" s="181"/>
      <c r="H173" s="181"/>
      <c r="I173" s="181"/>
      <c r="J173" s="14"/>
      <c r="K173" s="14"/>
      <c r="L173" s="14"/>
      <c r="M173" s="14"/>
      <c r="N173" s="14"/>
      <c r="O173" s="14"/>
      <c r="P173" s="14"/>
      <c r="Q173" s="181"/>
      <c r="R173" s="14"/>
      <c r="S173" s="14"/>
      <c r="T173" s="14"/>
      <c r="U173" s="14"/>
      <c r="V173" s="14"/>
      <c r="W173" s="14"/>
      <c r="X173" s="14"/>
      <c r="Y173" s="14"/>
      <c r="Z173" s="14"/>
      <c r="AA173" s="14"/>
      <c r="AB173" s="14"/>
      <c r="AD173" s="14"/>
      <c r="AE173" s="14"/>
      <c r="AF173" s="181"/>
      <c r="AI173" s="14"/>
      <c r="AJ173" s="14"/>
      <c r="AK173" s="181"/>
      <c r="AN173" s="14"/>
      <c r="AO173" s="14"/>
      <c r="AP173" s="193"/>
    </row>
    <row r="174" spans="1:42">
      <c r="A174" s="177"/>
      <c r="B174" s="14"/>
      <c r="C174" s="14"/>
      <c r="D174" s="14"/>
      <c r="E174" s="14"/>
      <c r="F174" s="181"/>
      <c r="G174" s="181"/>
      <c r="H174" s="181"/>
      <c r="I174" s="181"/>
      <c r="J174" s="14"/>
      <c r="K174" s="14"/>
      <c r="L174" s="14"/>
      <c r="M174" s="14"/>
      <c r="N174" s="14"/>
      <c r="O174" s="14"/>
      <c r="P174" s="14"/>
      <c r="Q174" s="181"/>
      <c r="R174" s="14"/>
      <c r="S174" s="14"/>
      <c r="T174" s="14"/>
      <c r="U174" s="14"/>
      <c r="V174" s="14"/>
      <c r="W174" s="14"/>
      <c r="X174" s="14"/>
      <c r="Y174" s="14"/>
      <c r="Z174" s="14"/>
      <c r="AA174" s="14"/>
      <c r="AB174" s="14"/>
      <c r="AD174" s="14"/>
      <c r="AE174" s="14"/>
      <c r="AF174" s="181"/>
      <c r="AI174" s="14"/>
      <c r="AJ174" s="14"/>
      <c r="AK174" s="181"/>
      <c r="AN174" s="14"/>
      <c r="AO174" s="14"/>
      <c r="AP174" s="193"/>
    </row>
    <row r="175" spans="1:42">
      <c r="A175" s="177"/>
      <c r="B175" s="14"/>
      <c r="C175" s="14"/>
      <c r="D175" s="14"/>
      <c r="E175" s="14"/>
      <c r="F175" s="181"/>
      <c r="G175" s="181"/>
      <c r="H175" s="181"/>
      <c r="I175" s="181"/>
      <c r="J175" s="14"/>
      <c r="K175" s="14"/>
      <c r="L175" s="14"/>
      <c r="M175" s="14"/>
      <c r="N175" s="14"/>
      <c r="O175" s="14"/>
      <c r="P175" s="14"/>
      <c r="Q175" s="181"/>
      <c r="R175" s="14"/>
      <c r="S175" s="14"/>
      <c r="T175" s="14"/>
      <c r="U175" s="14"/>
      <c r="V175" s="14"/>
      <c r="W175" s="14"/>
      <c r="X175" s="14"/>
      <c r="Y175" s="14"/>
      <c r="Z175" s="14"/>
      <c r="AA175" s="14"/>
      <c r="AB175" s="14"/>
      <c r="AD175" s="14"/>
      <c r="AE175" s="14"/>
      <c r="AF175" s="181"/>
      <c r="AI175" s="14"/>
      <c r="AJ175" s="14"/>
      <c r="AK175" s="181"/>
      <c r="AN175" s="14"/>
      <c r="AO175" s="14"/>
      <c r="AP175" s="193"/>
    </row>
    <row r="176" spans="1:42">
      <c r="A176" s="177"/>
      <c r="B176" s="14"/>
      <c r="C176" s="14"/>
      <c r="D176" s="14"/>
      <c r="E176" s="14"/>
      <c r="F176" s="181"/>
      <c r="G176" s="181"/>
      <c r="H176" s="181"/>
      <c r="I176" s="181"/>
      <c r="J176" s="14"/>
      <c r="K176" s="14"/>
      <c r="L176" s="14"/>
      <c r="M176" s="14"/>
      <c r="N176" s="14"/>
      <c r="O176" s="14"/>
      <c r="P176" s="14"/>
      <c r="Q176" s="181"/>
      <c r="R176" s="14"/>
      <c r="S176" s="14"/>
      <c r="T176" s="14"/>
      <c r="U176" s="14"/>
      <c r="V176" s="14"/>
      <c r="W176" s="14"/>
      <c r="X176" s="14"/>
      <c r="Y176" s="14"/>
      <c r="Z176" s="14"/>
      <c r="AA176" s="14"/>
      <c r="AB176" s="14"/>
      <c r="AD176" s="14"/>
      <c r="AE176" s="14"/>
      <c r="AF176" s="181"/>
      <c r="AI176" s="14"/>
      <c r="AJ176" s="14"/>
      <c r="AK176" s="181"/>
      <c r="AN176" s="14"/>
      <c r="AO176" s="14"/>
      <c r="AP176" s="193"/>
    </row>
    <row r="177" spans="1:42">
      <c r="A177" s="177"/>
      <c r="B177" s="14"/>
      <c r="C177" s="14"/>
      <c r="D177" s="14"/>
      <c r="E177" s="14"/>
      <c r="F177" s="181"/>
      <c r="G177" s="181"/>
      <c r="H177" s="181"/>
      <c r="I177" s="181"/>
      <c r="J177" s="14"/>
      <c r="K177" s="14"/>
      <c r="L177" s="14"/>
      <c r="M177" s="14"/>
      <c r="N177" s="14"/>
      <c r="O177" s="14"/>
      <c r="P177" s="14"/>
      <c r="Q177" s="181"/>
      <c r="R177" s="14"/>
      <c r="S177" s="14"/>
      <c r="T177" s="14"/>
      <c r="U177" s="14"/>
      <c r="V177" s="14"/>
      <c r="W177" s="14"/>
      <c r="X177" s="14"/>
      <c r="Y177" s="14"/>
      <c r="Z177" s="14"/>
      <c r="AA177" s="14"/>
      <c r="AB177" s="14"/>
      <c r="AD177" s="14"/>
      <c r="AE177" s="14"/>
      <c r="AF177" s="181"/>
      <c r="AI177" s="14"/>
      <c r="AJ177" s="14"/>
      <c r="AK177" s="181"/>
      <c r="AN177" s="14"/>
      <c r="AO177" s="14"/>
      <c r="AP177" s="193"/>
    </row>
    <row r="178" spans="1:42">
      <c r="A178" s="177"/>
      <c r="B178" s="14"/>
      <c r="C178" s="14"/>
      <c r="D178" s="14"/>
      <c r="E178" s="14"/>
      <c r="F178" s="181"/>
      <c r="G178" s="181"/>
      <c r="H178" s="181"/>
      <c r="I178" s="181"/>
      <c r="J178" s="14"/>
      <c r="K178" s="14"/>
      <c r="L178" s="14"/>
      <c r="M178" s="14"/>
      <c r="N178" s="14"/>
      <c r="O178" s="14"/>
      <c r="P178" s="14"/>
      <c r="Q178" s="181"/>
      <c r="R178" s="14"/>
      <c r="S178" s="14"/>
      <c r="T178" s="14"/>
      <c r="U178" s="14"/>
      <c r="V178" s="14"/>
      <c r="W178" s="14"/>
      <c r="X178" s="14"/>
      <c r="Y178" s="14"/>
      <c r="Z178" s="14"/>
      <c r="AA178" s="14"/>
      <c r="AB178" s="14"/>
      <c r="AD178" s="14"/>
      <c r="AE178" s="14"/>
      <c r="AF178" s="181"/>
      <c r="AI178" s="14"/>
      <c r="AJ178" s="14"/>
      <c r="AK178" s="181"/>
      <c r="AN178" s="14"/>
      <c r="AO178" s="14"/>
      <c r="AP178" s="193"/>
    </row>
    <row r="179" spans="1:42">
      <c r="A179" s="177"/>
      <c r="B179" s="14"/>
      <c r="C179" s="14"/>
      <c r="D179" s="14"/>
      <c r="E179" s="14"/>
      <c r="F179" s="181"/>
      <c r="G179" s="181"/>
      <c r="H179" s="181"/>
      <c r="I179" s="181"/>
      <c r="J179" s="14"/>
      <c r="K179" s="14"/>
      <c r="L179" s="14"/>
      <c r="M179" s="14"/>
      <c r="N179" s="14"/>
      <c r="O179" s="14"/>
      <c r="P179" s="14"/>
      <c r="Q179" s="181"/>
      <c r="R179" s="14"/>
      <c r="S179" s="14"/>
      <c r="T179" s="14"/>
      <c r="U179" s="14"/>
      <c r="V179" s="14"/>
      <c r="W179" s="14"/>
      <c r="X179" s="14"/>
      <c r="Y179" s="14"/>
      <c r="Z179" s="14"/>
      <c r="AA179" s="14"/>
      <c r="AB179" s="14"/>
      <c r="AD179" s="14"/>
      <c r="AE179" s="14"/>
      <c r="AF179" s="181"/>
      <c r="AI179" s="14"/>
      <c r="AJ179" s="14"/>
      <c r="AK179" s="181"/>
      <c r="AN179" s="14"/>
      <c r="AO179" s="14"/>
      <c r="AP179" s="193"/>
    </row>
    <row r="180" spans="1:42">
      <c r="A180" s="177"/>
      <c r="B180" s="14"/>
      <c r="C180" s="14"/>
      <c r="D180" s="14"/>
      <c r="E180" s="14"/>
      <c r="F180" s="181"/>
      <c r="G180" s="181"/>
      <c r="H180" s="181"/>
      <c r="I180" s="181"/>
      <c r="J180" s="14"/>
      <c r="K180" s="14"/>
      <c r="L180" s="14"/>
      <c r="M180" s="14"/>
      <c r="N180" s="14"/>
      <c r="O180" s="14"/>
      <c r="P180" s="14"/>
      <c r="Q180" s="181"/>
      <c r="R180" s="14"/>
      <c r="S180" s="14"/>
      <c r="T180" s="14"/>
      <c r="U180" s="14"/>
      <c r="V180" s="14"/>
      <c r="W180" s="14"/>
      <c r="X180" s="14"/>
      <c r="Y180" s="14"/>
      <c r="Z180" s="14"/>
      <c r="AA180" s="14"/>
      <c r="AB180" s="14"/>
      <c r="AD180" s="14"/>
      <c r="AE180" s="14"/>
      <c r="AF180" s="181"/>
      <c r="AI180" s="14"/>
      <c r="AJ180" s="14"/>
      <c r="AK180" s="181"/>
      <c r="AN180" s="14"/>
      <c r="AO180" s="14"/>
      <c r="AP180" s="193"/>
    </row>
    <row r="181" spans="1:42">
      <c r="A181" s="177"/>
      <c r="B181" s="14"/>
      <c r="C181" s="14"/>
      <c r="D181" s="14"/>
      <c r="E181" s="14"/>
      <c r="F181" s="181"/>
      <c r="G181" s="181"/>
      <c r="H181" s="181"/>
      <c r="I181" s="181"/>
      <c r="J181" s="14"/>
      <c r="K181" s="14"/>
      <c r="L181" s="14"/>
      <c r="M181" s="14"/>
      <c r="N181" s="14"/>
      <c r="O181" s="14"/>
      <c r="P181" s="14"/>
      <c r="Q181" s="181"/>
      <c r="R181" s="14"/>
      <c r="S181" s="14"/>
      <c r="T181" s="14"/>
      <c r="U181" s="14"/>
      <c r="V181" s="14"/>
      <c r="W181" s="14"/>
      <c r="X181" s="14"/>
      <c r="Y181" s="14"/>
      <c r="Z181" s="14"/>
      <c r="AA181" s="14"/>
      <c r="AB181" s="14"/>
      <c r="AD181" s="14"/>
      <c r="AE181" s="14"/>
      <c r="AF181" s="181"/>
      <c r="AI181" s="14"/>
      <c r="AJ181" s="14"/>
      <c r="AK181" s="181"/>
      <c r="AN181" s="14"/>
      <c r="AO181" s="14"/>
      <c r="AP181" s="193"/>
    </row>
    <row r="182" spans="1:42">
      <c r="A182" s="177"/>
      <c r="B182" s="14"/>
      <c r="C182" s="14"/>
      <c r="D182" s="14"/>
      <c r="E182" s="14"/>
      <c r="F182" s="181"/>
      <c r="G182" s="181"/>
      <c r="H182" s="181"/>
      <c r="I182" s="181"/>
      <c r="J182" s="14"/>
      <c r="K182" s="14"/>
      <c r="L182" s="14"/>
      <c r="M182" s="14"/>
      <c r="N182" s="14"/>
      <c r="O182" s="14"/>
      <c r="P182" s="14"/>
      <c r="Q182" s="181"/>
      <c r="R182" s="14"/>
      <c r="S182" s="14"/>
      <c r="T182" s="14"/>
      <c r="U182" s="14"/>
      <c r="V182" s="14"/>
      <c r="W182" s="14"/>
      <c r="X182" s="14"/>
      <c r="Y182" s="14"/>
      <c r="Z182" s="14"/>
      <c r="AA182" s="14"/>
      <c r="AB182" s="14"/>
      <c r="AD182" s="14"/>
      <c r="AE182" s="14"/>
      <c r="AF182" s="181"/>
      <c r="AI182" s="14"/>
      <c r="AJ182" s="14"/>
      <c r="AK182" s="181"/>
      <c r="AN182" s="14"/>
      <c r="AO182" s="14"/>
      <c r="AP182" s="193"/>
    </row>
    <row r="183" spans="1:42">
      <c r="A183" s="177"/>
      <c r="B183" s="14"/>
      <c r="C183" s="14"/>
      <c r="D183" s="14"/>
      <c r="E183" s="14"/>
      <c r="F183" s="181"/>
      <c r="G183" s="181"/>
      <c r="H183" s="181"/>
      <c r="I183" s="181"/>
      <c r="J183" s="14"/>
      <c r="K183" s="14"/>
      <c r="L183" s="14"/>
      <c r="M183" s="14"/>
      <c r="N183" s="14"/>
      <c r="O183" s="14"/>
      <c r="P183" s="14"/>
      <c r="Q183" s="181"/>
      <c r="R183" s="14"/>
      <c r="S183" s="14"/>
      <c r="T183" s="14"/>
      <c r="U183" s="14"/>
      <c r="V183" s="14"/>
      <c r="W183" s="14"/>
      <c r="X183" s="14"/>
      <c r="Y183" s="14"/>
      <c r="Z183" s="14"/>
      <c r="AA183" s="14"/>
      <c r="AB183" s="14"/>
      <c r="AD183" s="14"/>
      <c r="AE183" s="14"/>
      <c r="AF183" s="181"/>
      <c r="AI183" s="14"/>
      <c r="AJ183" s="14"/>
      <c r="AK183" s="181"/>
      <c r="AN183" s="14"/>
      <c r="AO183" s="14"/>
      <c r="AP183" s="193"/>
    </row>
    <row r="184" spans="1:42">
      <c r="A184" s="177"/>
      <c r="B184" s="14"/>
      <c r="C184" s="14"/>
      <c r="D184" s="14"/>
      <c r="E184" s="14"/>
      <c r="F184" s="181"/>
      <c r="G184" s="181"/>
      <c r="H184" s="181"/>
      <c r="I184" s="181"/>
      <c r="J184" s="14"/>
      <c r="K184" s="14"/>
      <c r="L184" s="14"/>
      <c r="M184" s="14"/>
      <c r="N184" s="14"/>
      <c r="O184" s="14"/>
      <c r="P184" s="14"/>
      <c r="Q184" s="181"/>
      <c r="R184" s="14"/>
      <c r="S184" s="14"/>
      <c r="T184" s="14"/>
      <c r="U184" s="14"/>
      <c r="V184" s="14"/>
      <c r="W184" s="14"/>
      <c r="X184" s="14"/>
      <c r="Y184" s="14"/>
      <c r="Z184" s="14"/>
      <c r="AA184" s="14"/>
      <c r="AB184" s="14"/>
      <c r="AD184" s="14"/>
      <c r="AE184" s="14"/>
      <c r="AF184" s="181"/>
      <c r="AI184" s="14"/>
      <c r="AJ184" s="14"/>
      <c r="AK184" s="181"/>
      <c r="AN184" s="14"/>
      <c r="AO184" s="14"/>
      <c r="AP184" s="193"/>
    </row>
    <row r="185" spans="1:42">
      <c r="A185" s="177"/>
      <c r="B185" s="14"/>
      <c r="C185" s="14"/>
      <c r="D185" s="14"/>
      <c r="E185" s="14"/>
      <c r="F185" s="181"/>
      <c r="G185" s="181"/>
      <c r="H185" s="181"/>
      <c r="I185" s="181"/>
      <c r="J185" s="14"/>
      <c r="K185" s="14"/>
      <c r="L185" s="14"/>
      <c r="M185" s="14"/>
      <c r="N185" s="14"/>
      <c r="O185" s="14"/>
      <c r="P185" s="14"/>
      <c r="Q185" s="181"/>
      <c r="R185" s="14"/>
      <c r="S185" s="14"/>
      <c r="T185" s="14"/>
      <c r="U185" s="14"/>
      <c r="V185" s="14"/>
      <c r="W185" s="14"/>
      <c r="X185" s="14"/>
      <c r="Y185" s="14"/>
      <c r="Z185" s="14"/>
      <c r="AA185" s="14"/>
      <c r="AB185" s="14"/>
      <c r="AD185" s="14"/>
      <c r="AE185" s="14"/>
      <c r="AF185" s="181"/>
      <c r="AI185" s="14"/>
      <c r="AJ185" s="14"/>
      <c r="AK185" s="181"/>
      <c r="AN185" s="14"/>
      <c r="AO185" s="14"/>
      <c r="AP185" s="193"/>
    </row>
    <row r="186" spans="1:42">
      <c r="A186" s="177"/>
      <c r="B186" s="14"/>
      <c r="C186" s="14"/>
      <c r="D186" s="14"/>
      <c r="E186" s="14"/>
      <c r="F186" s="181"/>
      <c r="G186" s="181"/>
      <c r="H186" s="181"/>
      <c r="I186" s="181"/>
      <c r="J186" s="14"/>
      <c r="K186" s="14"/>
      <c r="L186" s="14"/>
      <c r="M186" s="14"/>
      <c r="N186" s="14"/>
      <c r="O186" s="14"/>
      <c r="P186" s="14"/>
      <c r="Q186" s="181"/>
      <c r="R186" s="14"/>
      <c r="S186" s="14"/>
      <c r="T186" s="14"/>
      <c r="U186" s="14"/>
      <c r="V186" s="14"/>
      <c r="W186" s="14"/>
      <c r="X186" s="14"/>
      <c r="Y186" s="14"/>
      <c r="Z186" s="14"/>
      <c r="AA186" s="14"/>
      <c r="AB186" s="14"/>
      <c r="AD186" s="14"/>
      <c r="AE186" s="14"/>
      <c r="AF186" s="181"/>
      <c r="AI186" s="14"/>
      <c r="AJ186" s="14"/>
      <c r="AK186" s="181"/>
      <c r="AN186" s="14"/>
      <c r="AO186" s="14"/>
      <c r="AP186" s="193"/>
    </row>
    <row r="187" spans="1:42">
      <c r="A187" s="177"/>
      <c r="B187" s="14"/>
      <c r="C187" s="14"/>
      <c r="D187" s="14"/>
      <c r="E187" s="14"/>
      <c r="F187" s="181"/>
      <c r="G187" s="181"/>
      <c r="H187" s="181"/>
      <c r="I187" s="181"/>
      <c r="J187" s="14"/>
      <c r="K187" s="14"/>
      <c r="L187" s="14"/>
      <c r="M187" s="14"/>
      <c r="N187" s="14"/>
      <c r="O187" s="14"/>
      <c r="P187" s="14"/>
      <c r="Q187" s="181"/>
      <c r="R187" s="14"/>
      <c r="S187" s="14"/>
      <c r="T187" s="14"/>
      <c r="U187" s="14"/>
      <c r="V187" s="14"/>
      <c r="W187" s="14"/>
      <c r="X187" s="14"/>
      <c r="Y187" s="14"/>
      <c r="Z187" s="14"/>
      <c r="AA187" s="14"/>
      <c r="AB187" s="14"/>
      <c r="AD187" s="14"/>
      <c r="AE187" s="14"/>
      <c r="AF187" s="181"/>
      <c r="AI187" s="14"/>
      <c r="AJ187" s="14"/>
      <c r="AK187" s="181"/>
      <c r="AN187" s="14"/>
      <c r="AO187" s="14"/>
      <c r="AP187" s="193"/>
    </row>
    <row r="188" spans="1:42">
      <c r="A188" s="177"/>
      <c r="B188" s="14"/>
      <c r="C188" s="14"/>
      <c r="D188" s="14"/>
      <c r="E188" s="14"/>
      <c r="F188" s="181"/>
      <c r="G188" s="181"/>
      <c r="H188" s="181"/>
      <c r="I188" s="181"/>
      <c r="J188" s="14"/>
      <c r="K188" s="14"/>
      <c r="L188" s="14"/>
      <c r="M188" s="14"/>
      <c r="N188" s="14"/>
      <c r="O188" s="14"/>
      <c r="P188" s="14"/>
      <c r="Q188" s="181"/>
      <c r="R188" s="14"/>
      <c r="S188" s="14"/>
      <c r="T188" s="14"/>
      <c r="U188" s="14"/>
      <c r="V188" s="14"/>
      <c r="W188" s="14"/>
      <c r="X188" s="14"/>
      <c r="Y188" s="14"/>
      <c r="Z188" s="14"/>
      <c r="AA188" s="14"/>
      <c r="AB188" s="14"/>
      <c r="AD188" s="14"/>
      <c r="AE188" s="14"/>
      <c r="AF188" s="181"/>
      <c r="AI188" s="14"/>
      <c r="AJ188" s="14"/>
      <c r="AK188" s="181"/>
      <c r="AN188" s="14"/>
      <c r="AO188" s="14"/>
      <c r="AP188" s="193"/>
    </row>
    <row r="189" spans="1:42">
      <c r="A189" s="177"/>
      <c r="B189" s="14"/>
      <c r="C189" s="14"/>
      <c r="D189" s="14"/>
      <c r="E189" s="14"/>
      <c r="F189" s="181"/>
      <c r="G189" s="181"/>
      <c r="H189" s="181"/>
      <c r="I189" s="181"/>
      <c r="J189" s="14"/>
      <c r="K189" s="14"/>
      <c r="L189" s="14"/>
      <c r="M189" s="14"/>
      <c r="N189" s="14"/>
      <c r="O189" s="14"/>
      <c r="P189" s="14"/>
      <c r="Q189" s="181"/>
      <c r="R189" s="14"/>
      <c r="S189" s="14"/>
      <c r="T189" s="14"/>
      <c r="U189" s="14"/>
      <c r="V189" s="14"/>
      <c r="W189" s="14"/>
      <c r="X189" s="14"/>
      <c r="Y189" s="14"/>
      <c r="Z189" s="14"/>
      <c r="AA189" s="14"/>
      <c r="AB189" s="14"/>
      <c r="AD189" s="14"/>
      <c r="AE189" s="14"/>
      <c r="AF189" s="181"/>
      <c r="AI189" s="14"/>
      <c r="AJ189" s="14"/>
      <c r="AK189" s="181"/>
      <c r="AN189" s="14"/>
      <c r="AO189" s="14"/>
      <c r="AP189" s="193"/>
    </row>
    <row r="190" spans="1:42">
      <c r="A190" s="177"/>
      <c r="B190" s="14"/>
      <c r="C190" s="14"/>
      <c r="D190" s="14"/>
      <c r="E190" s="14"/>
      <c r="F190" s="181"/>
      <c r="G190" s="181"/>
      <c r="H190" s="181"/>
      <c r="I190" s="181"/>
      <c r="J190" s="14"/>
      <c r="K190" s="14"/>
      <c r="L190" s="14"/>
      <c r="M190" s="14"/>
      <c r="N190" s="14"/>
      <c r="O190" s="14"/>
      <c r="P190" s="14"/>
      <c r="Q190" s="181"/>
      <c r="R190" s="14"/>
      <c r="S190" s="14"/>
      <c r="T190" s="14"/>
      <c r="U190" s="14"/>
      <c r="V190" s="14"/>
      <c r="W190" s="14"/>
      <c r="X190" s="14"/>
      <c r="Y190" s="14"/>
      <c r="Z190" s="14"/>
      <c r="AA190" s="14"/>
      <c r="AB190" s="14"/>
      <c r="AD190" s="14"/>
      <c r="AE190" s="14"/>
      <c r="AF190" s="181"/>
      <c r="AI190" s="14"/>
      <c r="AJ190" s="14"/>
      <c r="AK190" s="181"/>
      <c r="AN190" s="14"/>
      <c r="AO190" s="14"/>
      <c r="AP190" s="193"/>
    </row>
    <row r="191" spans="1:42">
      <c r="A191" s="177"/>
      <c r="B191" s="14"/>
      <c r="C191" s="14"/>
      <c r="D191" s="14"/>
      <c r="E191" s="14"/>
      <c r="F191" s="181"/>
      <c r="G191" s="181"/>
      <c r="H191" s="181"/>
      <c r="I191" s="181"/>
      <c r="J191" s="14"/>
      <c r="K191" s="14"/>
      <c r="L191" s="14"/>
      <c r="M191" s="14"/>
      <c r="N191" s="14"/>
      <c r="O191" s="14"/>
      <c r="P191" s="14"/>
      <c r="Q191" s="181"/>
      <c r="R191" s="14"/>
      <c r="S191" s="14"/>
      <c r="T191" s="14"/>
      <c r="U191" s="14"/>
      <c r="V191" s="14"/>
      <c r="W191" s="14"/>
      <c r="X191" s="14"/>
      <c r="Y191" s="14"/>
      <c r="Z191" s="14"/>
      <c r="AA191" s="14"/>
      <c r="AB191" s="14"/>
      <c r="AD191" s="14"/>
      <c r="AE191" s="14"/>
      <c r="AF191" s="181"/>
      <c r="AI191" s="14"/>
      <c r="AJ191" s="14"/>
      <c r="AK191" s="181"/>
      <c r="AN191" s="14"/>
      <c r="AO191" s="14"/>
      <c r="AP191" s="193"/>
    </row>
    <row r="192" spans="1:42">
      <c r="A192" s="177"/>
      <c r="B192" s="14"/>
      <c r="C192" s="14"/>
      <c r="D192" s="14"/>
      <c r="E192" s="14"/>
      <c r="F192" s="181"/>
      <c r="G192" s="181"/>
      <c r="H192" s="181"/>
      <c r="I192" s="181"/>
      <c r="J192" s="14"/>
      <c r="K192" s="14"/>
      <c r="L192" s="14"/>
      <c r="M192" s="14"/>
      <c r="N192" s="14"/>
      <c r="O192" s="14"/>
      <c r="P192" s="14"/>
      <c r="Q192" s="181"/>
      <c r="R192" s="14"/>
      <c r="S192" s="14"/>
      <c r="T192" s="14"/>
      <c r="U192" s="14"/>
      <c r="V192" s="14"/>
      <c r="W192" s="14"/>
      <c r="X192" s="14"/>
      <c r="Y192" s="14"/>
      <c r="Z192" s="14"/>
      <c r="AA192" s="14"/>
      <c r="AB192" s="14"/>
      <c r="AD192" s="14"/>
      <c r="AE192" s="14"/>
      <c r="AF192" s="181"/>
      <c r="AI192" s="14"/>
      <c r="AJ192" s="14"/>
      <c r="AK192" s="181"/>
      <c r="AN192" s="14"/>
      <c r="AO192" s="14"/>
      <c r="AP192" s="193"/>
    </row>
    <row r="193" spans="1:42">
      <c r="A193" s="177"/>
      <c r="B193" s="14"/>
      <c r="C193" s="14"/>
      <c r="D193" s="14"/>
      <c r="E193" s="14"/>
      <c r="F193" s="181"/>
      <c r="G193" s="181"/>
      <c r="H193" s="181"/>
      <c r="I193" s="181"/>
      <c r="J193" s="14"/>
      <c r="K193" s="14"/>
      <c r="L193" s="14"/>
      <c r="M193" s="14"/>
      <c r="N193" s="14"/>
      <c r="O193" s="14"/>
      <c r="P193" s="14"/>
      <c r="Q193" s="181"/>
      <c r="R193" s="14"/>
      <c r="S193" s="14"/>
      <c r="T193" s="14"/>
      <c r="U193" s="14"/>
      <c r="V193" s="14"/>
      <c r="W193" s="14"/>
      <c r="X193" s="14"/>
      <c r="Y193" s="14"/>
      <c r="Z193" s="14"/>
      <c r="AA193" s="14"/>
      <c r="AB193" s="14"/>
      <c r="AD193" s="14"/>
      <c r="AE193" s="14"/>
      <c r="AF193" s="181"/>
      <c r="AI193" s="14"/>
      <c r="AJ193" s="14"/>
      <c r="AK193" s="181"/>
      <c r="AN193" s="14"/>
      <c r="AO193" s="14"/>
      <c r="AP193" s="193"/>
    </row>
    <row r="194" spans="1:42">
      <c r="A194" s="177"/>
      <c r="B194" s="14"/>
      <c r="C194" s="14"/>
      <c r="D194" s="14"/>
      <c r="E194" s="14"/>
      <c r="F194" s="181"/>
      <c r="G194" s="181"/>
      <c r="H194" s="181"/>
      <c r="I194" s="181"/>
      <c r="J194" s="14"/>
      <c r="K194" s="14"/>
      <c r="L194" s="14"/>
      <c r="M194" s="14"/>
      <c r="N194" s="14"/>
      <c r="O194" s="14"/>
      <c r="P194" s="14"/>
      <c r="Q194" s="181"/>
      <c r="R194" s="14"/>
      <c r="S194" s="14"/>
      <c r="T194" s="14"/>
      <c r="U194" s="14"/>
      <c r="V194" s="14"/>
      <c r="W194" s="14"/>
      <c r="X194" s="14"/>
      <c r="Y194" s="14"/>
      <c r="Z194" s="14"/>
      <c r="AA194" s="14"/>
      <c r="AB194" s="14"/>
      <c r="AD194" s="14"/>
      <c r="AE194" s="14"/>
      <c r="AF194" s="181"/>
      <c r="AI194" s="14"/>
      <c r="AJ194" s="14"/>
      <c r="AK194" s="181"/>
      <c r="AN194" s="14"/>
      <c r="AO194" s="14"/>
      <c r="AP194" s="193"/>
    </row>
    <row r="195" spans="1:42">
      <c r="A195" s="177"/>
      <c r="B195" s="14"/>
      <c r="C195" s="14"/>
      <c r="D195" s="14"/>
      <c r="E195" s="14"/>
      <c r="F195" s="181"/>
      <c r="G195" s="181"/>
      <c r="H195" s="181"/>
      <c r="I195" s="181"/>
      <c r="J195" s="14"/>
      <c r="K195" s="14"/>
      <c r="L195" s="14"/>
      <c r="M195" s="14"/>
      <c r="N195" s="14"/>
      <c r="O195" s="14"/>
      <c r="P195" s="14"/>
      <c r="Q195" s="181"/>
      <c r="R195" s="14"/>
      <c r="S195" s="14"/>
      <c r="T195" s="14"/>
      <c r="U195" s="14"/>
      <c r="V195" s="14"/>
      <c r="W195" s="14"/>
      <c r="X195" s="14"/>
      <c r="Y195" s="14"/>
      <c r="Z195" s="14"/>
      <c r="AA195" s="14"/>
      <c r="AB195" s="14"/>
      <c r="AD195" s="14"/>
      <c r="AE195" s="14"/>
      <c r="AF195" s="181"/>
      <c r="AI195" s="14"/>
      <c r="AJ195" s="14"/>
      <c r="AK195" s="181"/>
      <c r="AN195" s="14"/>
      <c r="AO195" s="14"/>
      <c r="AP195" s="193"/>
    </row>
    <row r="196" spans="1:42">
      <c r="A196" s="177"/>
      <c r="B196" s="14"/>
      <c r="C196" s="14"/>
      <c r="D196" s="14"/>
      <c r="E196" s="14"/>
      <c r="F196" s="181"/>
      <c r="G196" s="181"/>
      <c r="H196" s="181"/>
      <c r="I196" s="181"/>
      <c r="J196" s="14"/>
      <c r="K196" s="14"/>
      <c r="L196" s="14"/>
      <c r="M196" s="14"/>
      <c r="N196" s="14"/>
      <c r="O196" s="14"/>
      <c r="P196" s="14"/>
      <c r="Q196" s="181"/>
      <c r="R196" s="14"/>
      <c r="S196" s="14"/>
      <c r="T196" s="14"/>
      <c r="U196" s="14"/>
      <c r="V196" s="14"/>
      <c r="W196" s="14"/>
      <c r="X196" s="14"/>
      <c r="Y196" s="14"/>
      <c r="Z196" s="14"/>
      <c r="AA196" s="14"/>
      <c r="AB196" s="14"/>
      <c r="AD196" s="14"/>
      <c r="AE196" s="14"/>
      <c r="AF196" s="181"/>
      <c r="AI196" s="14"/>
      <c r="AJ196" s="14"/>
      <c r="AK196" s="181"/>
      <c r="AN196" s="14"/>
      <c r="AO196" s="14"/>
      <c r="AP196" s="193"/>
    </row>
    <row r="197" spans="1:42">
      <c r="A197" s="177"/>
      <c r="B197" s="14"/>
      <c r="C197" s="14"/>
      <c r="D197" s="14"/>
      <c r="E197" s="14"/>
      <c r="F197" s="181"/>
      <c r="G197" s="181"/>
      <c r="H197" s="181"/>
      <c r="I197" s="181"/>
      <c r="J197" s="14"/>
      <c r="K197" s="14"/>
      <c r="L197" s="14"/>
      <c r="M197" s="14"/>
      <c r="N197" s="14"/>
      <c r="O197" s="14"/>
      <c r="P197" s="14"/>
      <c r="Q197" s="181"/>
      <c r="R197" s="14"/>
      <c r="S197" s="14"/>
      <c r="T197" s="14"/>
      <c r="U197" s="14"/>
      <c r="V197" s="14"/>
      <c r="W197" s="14"/>
      <c r="X197" s="14"/>
      <c r="Y197" s="14"/>
      <c r="Z197" s="14"/>
      <c r="AA197" s="14"/>
      <c r="AB197" s="14"/>
      <c r="AD197" s="14"/>
      <c r="AE197" s="14"/>
      <c r="AF197" s="181"/>
      <c r="AI197" s="14"/>
      <c r="AJ197" s="14"/>
      <c r="AK197" s="181"/>
      <c r="AN197" s="14"/>
      <c r="AO197" s="14"/>
      <c r="AP197" s="193"/>
    </row>
    <row r="198" spans="1:42">
      <c r="A198" s="177"/>
      <c r="B198" s="14"/>
      <c r="C198" s="14"/>
      <c r="D198" s="14"/>
      <c r="E198" s="14"/>
      <c r="F198" s="181"/>
      <c r="G198" s="181"/>
      <c r="H198" s="181"/>
      <c r="I198" s="181"/>
      <c r="J198" s="14"/>
      <c r="K198" s="14"/>
      <c r="L198" s="14"/>
      <c r="M198" s="14"/>
      <c r="N198" s="14"/>
      <c r="O198" s="14"/>
      <c r="P198" s="14"/>
      <c r="Q198" s="181"/>
      <c r="R198" s="14"/>
      <c r="S198" s="14"/>
      <c r="T198" s="14"/>
      <c r="U198" s="14"/>
      <c r="V198" s="14"/>
      <c r="W198" s="14"/>
      <c r="X198" s="14"/>
      <c r="Y198" s="14"/>
      <c r="Z198" s="14"/>
      <c r="AA198" s="14"/>
      <c r="AB198" s="14"/>
      <c r="AD198" s="14"/>
      <c r="AE198" s="14"/>
      <c r="AF198" s="181"/>
      <c r="AI198" s="14"/>
      <c r="AJ198" s="14"/>
      <c r="AK198" s="181"/>
      <c r="AN198" s="14"/>
      <c r="AO198" s="14"/>
      <c r="AP198" s="193"/>
    </row>
    <row r="199" spans="1:42">
      <c r="A199" s="177"/>
      <c r="B199" s="14"/>
      <c r="C199" s="14"/>
      <c r="D199" s="14"/>
      <c r="E199" s="14"/>
      <c r="F199" s="181"/>
      <c r="G199" s="181"/>
      <c r="H199" s="181"/>
      <c r="I199" s="181"/>
      <c r="J199" s="14"/>
      <c r="K199" s="14"/>
      <c r="L199" s="14"/>
      <c r="M199" s="14"/>
      <c r="N199" s="14"/>
      <c r="O199" s="14"/>
      <c r="P199" s="14"/>
      <c r="Q199" s="181"/>
      <c r="R199" s="14"/>
      <c r="S199" s="14"/>
      <c r="T199" s="14"/>
      <c r="U199" s="14"/>
      <c r="V199" s="14"/>
      <c r="W199" s="14"/>
      <c r="X199" s="14"/>
      <c r="Y199" s="14"/>
      <c r="Z199" s="14"/>
      <c r="AA199" s="14"/>
      <c r="AB199" s="14"/>
      <c r="AD199" s="14"/>
      <c r="AE199" s="14"/>
      <c r="AF199" s="181"/>
      <c r="AI199" s="14"/>
      <c r="AJ199" s="14"/>
      <c r="AK199" s="181"/>
      <c r="AN199" s="14"/>
      <c r="AO199" s="14"/>
      <c r="AP199" s="193"/>
    </row>
    <row r="200" spans="1:42">
      <c r="A200" s="177"/>
      <c r="B200" s="14"/>
      <c r="C200" s="14"/>
      <c r="D200" s="14"/>
      <c r="E200" s="14"/>
      <c r="F200" s="181"/>
      <c r="G200" s="181"/>
      <c r="H200" s="181"/>
      <c r="I200" s="181"/>
      <c r="J200" s="14"/>
      <c r="K200" s="14"/>
      <c r="L200" s="14"/>
      <c r="M200" s="14"/>
      <c r="N200" s="14"/>
      <c r="O200" s="14"/>
      <c r="P200" s="14"/>
      <c r="Q200" s="181"/>
      <c r="R200" s="14"/>
      <c r="S200" s="14"/>
      <c r="T200" s="14"/>
      <c r="U200" s="14"/>
      <c r="V200" s="14"/>
      <c r="W200" s="14"/>
      <c r="X200" s="14"/>
      <c r="Y200" s="14"/>
      <c r="Z200" s="14"/>
      <c r="AA200" s="14"/>
      <c r="AB200" s="14"/>
      <c r="AD200" s="14"/>
      <c r="AE200" s="14"/>
      <c r="AF200" s="181"/>
      <c r="AI200" s="14"/>
      <c r="AJ200" s="14"/>
      <c r="AK200" s="181"/>
      <c r="AN200" s="14"/>
      <c r="AO200" s="14"/>
      <c r="AP200" s="193"/>
    </row>
    <row r="201" spans="1:42">
      <c r="A201" s="177"/>
      <c r="B201" s="14"/>
      <c r="C201" s="14"/>
      <c r="D201" s="14"/>
      <c r="E201" s="14"/>
      <c r="F201" s="181"/>
      <c r="G201" s="181"/>
      <c r="H201" s="181"/>
      <c r="I201" s="181"/>
      <c r="J201" s="14"/>
      <c r="K201" s="14"/>
      <c r="L201" s="14"/>
      <c r="M201" s="14"/>
      <c r="N201" s="14"/>
      <c r="O201" s="14"/>
      <c r="P201" s="14"/>
      <c r="Q201" s="181"/>
      <c r="R201" s="14"/>
      <c r="S201" s="14"/>
      <c r="T201" s="14"/>
      <c r="U201" s="14"/>
      <c r="V201" s="14"/>
      <c r="W201" s="14"/>
      <c r="X201" s="14"/>
      <c r="Y201" s="14"/>
      <c r="Z201" s="14"/>
      <c r="AA201" s="14"/>
      <c r="AB201" s="14"/>
      <c r="AD201" s="14"/>
      <c r="AE201" s="14"/>
      <c r="AF201" s="181"/>
      <c r="AI201" s="14"/>
      <c r="AJ201" s="14"/>
      <c r="AK201" s="181"/>
      <c r="AN201" s="14"/>
      <c r="AO201" s="14"/>
      <c r="AP201" s="193"/>
    </row>
    <row r="202" spans="1:42">
      <c r="A202" s="177"/>
      <c r="B202" s="14"/>
      <c r="C202" s="14"/>
      <c r="D202" s="14"/>
      <c r="E202" s="14"/>
      <c r="F202" s="181"/>
      <c r="G202" s="181"/>
      <c r="H202" s="181"/>
      <c r="I202" s="181"/>
      <c r="J202" s="14"/>
      <c r="K202" s="14"/>
      <c r="L202" s="14"/>
      <c r="M202" s="14"/>
      <c r="N202" s="14"/>
      <c r="O202" s="14"/>
      <c r="P202" s="14"/>
      <c r="Q202" s="181"/>
      <c r="R202" s="14"/>
      <c r="S202" s="14"/>
      <c r="T202" s="14"/>
      <c r="U202" s="14"/>
      <c r="V202" s="14"/>
      <c r="W202" s="14"/>
      <c r="X202" s="14"/>
      <c r="Y202" s="14"/>
      <c r="Z202" s="14"/>
      <c r="AA202" s="14"/>
      <c r="AB202" s="14"/>
      <c r="AD202" s="14"/>
      <c r="AE202" s="14"/>
      <c r="AF202" s="181"/>
      <c r="AI202" s="14"/>
      <c r="AJ202" s="14"/>
      <c r="AK202" s="181"/>
      <c r="AN202" s="14"/>
      <c r="AO202" s="14"/>
      <c r="AP202" s="193"/>
    </row>
    <row r="203" spans="1:42">
      <c r="A203" s="177"/>
      <c r="B203" s="14"/>
      <c r="C203" s="14"/>
      <c r="D203" s="14"/>
      <c r="E203" s="14"/>
      <c r="F203" s="181"/>
      <c r="G203" s="181"/>
      <c r="H203" s="181"/>
      <c r="I203" s="181"/>
      <c r="J203" s="14"/>
      <c r="K203" s="14"/>
      <c r="L203" s="14"/>
      <c r="M203" s="14"/>
      <c r="N203" s="14"/>
      <c r="O203" s="14"/>
      <c r="P203" s="14"/>
      <c r="Q203" s="181"/>
      <c r="R203" s="14"/>
      <c r="S203" s="14"/>
      <c r="T203" s="14"/>
      <c r="U203" s="14"/>
      <c r="V203" s="14"/>
      <c r="W203" s="14"/>
      <c r="X203" s="14"/>
      <c r="Y203" s="14"/>
      <c r="Z203" s="14"/>
      <c r="AA203" s="14"/>
      <c r="AB203" s="14"/>
      <c r="AD203" s="14"/>
      <c r="AE203" s="14"/>
      <c r="AF203" s="181"/>
      <c r="AI203" s="14"/>
      <c r="AJ203" s="14"/>
      <c r="AK203" s="181"/>
      <c r="AN203" s="14"/>
      <c r="AO203" s="14"/>
      <c r="AP203" s="193"/>
    </row>
    <row r="204" spans="1:42">
      <c r="A204" s="177"/>
      <c r="B204" s="14"/>
      <c r="C204" s="14"/>
      <c r="D204" s="14"/>
      <c r="E204" s="14"/>
      <c r="F204" s="181"/>
      <c r="G204" s="181"/>
      <c r="H204" s="181"/>
      <c r="I204" s="181"/>
      <c r="J204" s="14"/>
      <c r="K204" s="14"/>
      <c r="L204" s="14"/>
      <c r="M204" s="14"/>
      <c r="N204" s="14"/>
      <c r="O204" s="14"/>
      <c r="P204" s="14"/>
      <c r="Q204" s="181"/>
      <c r="R204" s="14"/>
      <c r="S204" s="14"/>
      <c r="T204" s="14"/>
      <c r="U204" s="14"/>
      <c r="V204" s="14"/>
      <c r="W204" s="14"/>
      <c r="X204" s="14"/>
      <c r="Y204" s="14"/>
      <c r="Z204" s="14"/>
      <c r="AA204" s="14"/>
      <c r="AB204" s="14"/>
      <c r="AD204" s="14"/>
      <c r="AE204" s="14"/>
      <c r="AF204" s="181"/>
      <c r="AI204" s="14"/>
      <c r="AJ204" s="14"/>
      <c r="AK204" s="181"/>
      <c r="AN204" s="14"/>
      <c r="AO204" s="14"/>
      <c r="AP204" s="193"/>
    </row>
    <row r="205" spans="1:42">
      <c r="A205" s="177"/>
      <c r="B205" s="14"/>
      <c r="C205" s="14"/>
      <c r="D205" s="14"/>
      <c r="E205" s="14"/>
      <c r="F205" s="181"/>
      <c r="G205" s="181"/>
      <c r="H205" s="181"/>
      <c r="I205" s="181"/>
      <c r="J205" s="14"/>
      <c r="K205" s="14"/>
      <c r="L205" s="14"/>
      <c r="M205" s="14"/>
      <c r="N205" s="14"/>
      <c r="O205" s="14"/>
      <c r="P205" s="14"/>
      <c r="Q205" s="181"/>
      <c r="R205" s="14"/>
      <c r="S205" s="14"/>
      <c r="T205" s="14"/>
      <c r="U205" s="14"/>
      <c r="V205" s="14"/>
      <c r="W205" s="14"/>
      <c r="X205" s="14"/>
      <c r="Y205" s="14"/>
      <c r="Z205" s="14"/>
      <c r="AA205" s="14"/>
      <c r="AB205" s="14"/>
      <c r="AD205" s="14"/>
      <c r="AE205" s="14"/>
      <c r="AF205" s="181"/>
      <c r="AI205" s="14"/>
      <c r="AJ205" s="14"/>
      <c r="AK205" s="181"/>
      <c r="AN205" s="14"/>
      <c r="AO205" s="14"/>
      <c r="AP205" s="193"/>
    </row>
    <row r="206" spans="1:42">
      <c r="A206" s="177"/>
      <c r="B206" s="14"/>
      <c r="C206" s="14"/>
      <c r="D206" s="14"/>
      <c r="E206" s="14"/>
      <c r="F206" s="181"/>
      <c r="G206" s="181"/>
      <c r="H206" s="181"/>
      <c r="I206" s="181"/>
      <c r="J206" s="14"/>
      <c r="K206" s="14"/>
      <c r="L206" s="14"/>
      <c r="M206" s="14"/>
      <c r="N206" s="14"/>
      <c r="O206" s="14"/>
      <c r="P206" s="14"/>
      <c r="Q206" s="181"/>
      <c r="R206" s="14"/>
      <c r="S206" s="14"/>
      <c r="T206" s="14"/>
      <c r="U206" s="14"/>
      <c r="V206" s="14"/>
      <c r="W206" s="14"/>
      <c r="X206" s="14"/>
      <c r="Y206" s="14"/>
      <c r="Z206" s="14"/>
      <c r="AA206" s="14"/>
      <c r="AB206" s="14"/>
      <c r="AD206" s="14"/>
      <c r="AE206" s="14"/>
      <c r="AF206" s="181"/>
      <c r="AI206" s="14"/>
      <c r="AJ206" s="14"/>
      <c r="AK206" s="181"/>
      <c r="AN206" s="14"/>
      <c r="AO206" s="14"/>
      <c r="AP206" s="193"/>
    </row>
    <row r="207" spans="1:42">
      <c r="A207" s="177"/>
      <c r="B207" s="14"/>
      <c r="C207" s="14"/>
      <c r="D207" s="14"/>
      <c r="E207" s="14"/>
      <c r="F207" s="181"/>
      <c r="G207" s="181"/>
      <c r="H207" s="181"/>
      <c r="I207" s="181"/>
      <c r="J207" s="14"/>
      <c r="K207" s="14"/>
      <c r="L207" s="14"/>
      <c r="M207" s="14"/>
      <c r="N207" s="14"/>
      <c r="O207" s="14"/>
      <c r="P207" s="14"/>
      <c r="Q207" s="181"/>
      <c r="R207" s="14"/>
      <c r="S207" s="14"/>
      <c r="T207" s="14"/>
      <c r="U207" s="14"/>
      <c r="V207" s="14"/>
      <c r="W207" s="14"/>
      <c r="X207" s="14"/>
      <c r="Y207" s="14"/>
      <c r="Z207" s="14"/>
      <c r="AA207" s="14"/>
      <c r="AB207" s="14"/>
      <c r="AD207" s="14"/>
      <c r="AE207" s="14"/>
      <c r="AF207" s="181"/>
      <c r="AI207" s="14"/>
      <c r="AJ207" s="14"/>
      <c r="AK207" s="181"/>
      <c r="AN207" s="14"/>
      <c r="AO207" s="14"/>
      <c r="AP207" s="193"/>
    </row>
    <row r="208" spans="1:42">
      <c r="A208" s="177"/>
      <c r="B208" s="14"/>
      <c r="C208" s="14"/>
      <c r="D208" s="14"/>
      <c r="E208" s="14"/>
      <c r="F208" s="181"/>
      <c r="G208" s="181"/>
      <c r="H208" s="181"/>
      <c r="I208" s="181"/>
      <c r="J208" s="14"/>
      <c r="K208" s="14"/>
      <c r="L208" s="14"/>
      <c r="M208" s="14"/>
      <c r="N208" s="14"/>
      <c r="O208" s="14"/>
      <c r="P208" s="14"/>
      <c r="Q208" s="181"/>
      <c r="R208" s="14"/>
      <c r="S208" s="14"/>
      <c r="T208" s="14"/>
      <c r="U208" s="14"/>
      <c r="V208" s="14"/>
      <c r="W208" s="14"/>
      <c r="X208" s="14"/>
      <c r="Y208" s="14"/>
      <c r="Z208" s="14"/>
      <c r="AA208" s="14"/>
      <c r="AB208" s="14"/>
      <c r="AD208" s="14"/>
      <c r="AE208" s="14"/>
      <c r="AF208" s="181"/>
      <c r="AI208" s="14"/>
      <c r="AJ208" s="14"/>
      <c r="AK208" s="181"/>
      <c r="AN208" s="14"/>
      <c r="AO208" s="14"/>
      <c r="AP208" s="193"/>
    </row>
    <row r="209" spans="1:42">
      <c r="A209" s="177"/>
      <c r="B209" s="14"/>
      <c r="C209" s="14"/>
      <c r="D209" s="14"/>
      <c r="E209" s="14"/>
      <c r="F209" s="181"/>
      <c r="G209" s="181"/>
      <c r="H209" s="181"/>
      <c r="I209" s="181"/>
      <c r="J209" s="14"/>
      <c r="K209" s="14"/>
      <c r="L209" s="14"/>
      <c r="M209" s="14"/>
      <c r="N209" s="14"/>
      <c r="O209" s="14"/>
      <c r="P209" s="14"/>
      <c r="Q209" s="181"/>
      <c r="R209" s="14"/>
      <c r="S209" s="14"/>
      <c r="T209" s="14"/>
      <c r="U209" s="14"/>
      <c r="V209" s="14"/>
      <c r="W209" s="14"/>
      <c r="X209" s="14"/>
      <c r="Y209" s="14"/>
      <c r="Z209" s="14"/>
      <c r="AA209" s="14"/>
      <c r="AB209" s="14"/>
      <c r="AD209" s="14"/>
      <c r="AE209" s="14"/>
      <c r="AF209" s="181"/>
      <c r="AI209" s="14"/>
      <c r="AJ209" s="14"/>
      <c r="AK209" s="181"/>
      <c r="AN209" s="14"/>
      <c r="AO209" s="14"/>
      <c r="AP209" s="193"/>
    </row>
    <row r="210" spans="1:42">
      <c r="A210" s="177"/>
      <c r="B210" s="14"/>
      <c r="C210" s="14"/>
      <c r="D210" s="14"/>
      <c r="E210" s="14"/>
      <c r="F210" s="181"/>
      <c r="G210" s="181"/>
      <c r="H210" s="181"/>
      <c r="I210" s="181"/>
      <c r="J210" s="14"/>
      <c r="K210" s="14"/>
      <c r="L210" s="14"/>
      <c r="M210" s="14"/>
      <c r="N210" s="14"/>
      <c r="O210" s="14"/>
      <c r="P210" s="14"/>
      <c r="Q210" s="181"/>
      <c r="R210" s="14"/>
      <c r="S210" s="14"/>
      <c r="T210" s="14"/>
      <c r="U210" s="14"/>
      <c r="V210" s="14"/>
      <c r="W210" s="14"/>
      <c r="X210" s="14"/>
      <c r="Y210" s="14"/>
      <c r="Z210" s="14"/>
      <c r="AA210" s="14"/>
      <c r="AB210" s="14"/>
      <c r="AD210" s="14"/>
      <c r="AE210" s="14"/>
      <c r="AF210" s="181"/>
      <c r="AI210" s="14"/>
      <c r="AJ210" s="14"/>
      <c r="AK210" s="181"/>
      <c r="AN210" s="14"/>
      <c r="AO210" s="14"/>
      <c r="AP210" s="193"/>
    </row>
    <row r="211" spans="1:42">
      <c r="A211" s="177"/>
      <c r="B211" s="14"/>
      <c r="C211" s="14"/>
      <c r="D211" s="14"/>
      <c r="E211" s="14"/>
      <c r="F211" s="181"/>
      <c r="G211" s="181"/>
      <c r="H211" s="181"/>
      <c r="I211" s="181"/>
      <c r="J211" s="14"/>
      <c r="K211" s="14"/>
      <c r="L211" s="14"/>
      <c r="M211" s="14"/>
      <c r="N211" s="14"/>
      <c r="O211" s="14"/>
      <c r="P211" s="14"/>
      <c r="Q211" s="181"/>
      <c r="R211" s="14"/>
      <c r="S211" s="14"/>
      <c r="T211" s="14"/>
      <c r="U211" s="14"/>
      <c r="V211" s="14"/>
      <c r="W211" s="14"/>
      <c r="X211" s="14"/>
      <c r="Y211" s="14"/>
      <c r="Z211" s="14"/>
      <c r="AA211" s="14"/>
      <c r="AB211" s="14"/>
      <c r="AD211" s="14"/>
      <c r="AE211" s="14"/>
      <c r="AF211" s="181"/>
      <c r="AI211" s="14"/>
      <c r="AJ211" s="14"/>
      <c r="AK211" s="181"/>
      <c r="AN211" s="14"/>
      <c r="AO211" s="14"/>
      <c r="AP211" s="193"/>
    </row>
    <row r="212" spans="1:42">
      <c r="A212" s="177"/>
      <c r="B212" s="14"/>
      <c r="C212" s="14"/>
      <c r="D212" s="14"/>
      <c r="E212" s="14"/>
      <c r="F212" s="181"/>
      <c r="G212" s="181"/>
      <c r="H212" s="181"/>
      <c r="I212" s="181"/>
      <c r="J212" s="14"/>
      <c r="K212" s="14"/>
      <c r="L212" s="14"/>
      <c r="M212" s="14"/>
      <c r="N212" s="14"/>
      <c r="O212" s="14"/>
      <c r="P212" s="14"/>
      <c r="Q212" s="181"/>
      <c r="R212" s="14"/>
      <c r="S212" s="14"/>
      <c r="T212" s="14"/>
      <c r="U212" s="14"/>
      <c r="V212" s="14"/>
      <c r="W212" s="14"/>
      <c r="X212" s="14"/>
      <c r="Y212" s="14"/>
      <c r="Z212" s="14"/>
      <c r="AA212" s="14"/>
      <c r="AB212" s="14"/>
      <c r="AD212" s="14"/>
      <c r="AE212" s="14"/>
      <c r="AF212" s="181"/>
      <c r="AI212" s="14"/>
      <c r="AJ212" s="14"/>
      <c r="AK212" s="181"/>
      <c r="AN212" s="14"/>
      <c r="AO212" s="14"/>
      <c r="AP212" s="193"/>
    </row>
    <row r="213" spans="1:42">
      <c r="A213" s="177"/>
      <c r="B213" s="14"/>
      <c r="C213" s="14"/>
      <c r="D213" s="14"/>
      <c r="E213" s="14"/>
      <c r="F213" s="181"/>
      <c r="G213" s="181"/>
      <c r="H213" s="181"/>
      <c r="I213" s="181"/>
      <c r="J213" s="14"/>
      <c r="K213" s="14"/>
      <c r="L213" s="14"/>
      <c r="M213" s="14"/>
      <c r="N213" s="14"/>
      <c r="O213" s="14"/>
      <c r="P213" s="14"/>
      <c r="Q213" s="181"/>
      <c r="R213" s="14"/>
      <c r="S213" s="14"/>
      <c r="T213" s="14"/>
      <c r="U213" s="14"/>
      <c r="V213" s="14"/>
      <c r="W213" s="14"/>
      <c r="X213" s="14"/>
      <c r="Y213" s="14"/>
      <c r="Z213" s="14"/>
      <c r="AA213" s="14"/>
      <c r="AB213" s="14"/>
      <c r="AD213" s="14"/>
      <c r="AE213" s="14"/>
      <c r="AF213" s="181"/>
      <c r="AI213" s="14"/>
      <c r="AJ213" s="14"/>
      <c r="AK213" s="181"/>
      <c r="AN213" s="14"/>
      <c r="AO213" s="14"/>
      <c r="AP213" s="193"/>
    </row>
    <row r="214" spans="1:42">
      <c r="A214" s="177"/>
      <c r="B214" s="14"/>
      <c r="C214" s="14"/>
      <c r="D214" s="14"/>
      <c r="E214" s="14"/>
      <c r="F214" s="181"/>
      <c r="G214" s="181"/>
      <c r="H214" s="181"/>
      <c r="I214" s="181"/>
      <c r="J214" s="14"/>
      <c r="K214" s="14"/>
      <c r="L214" s="14"/>
      <c r="M214" s="14"/>
      <c r="N214" s="14"/>
      <c r="O214" s="14"/>
      <c r="P214" s="14"/>
      <c r="Q214" s="181"/>
      <c r="R214" s="14"/>
      <c r="S214" s="14"/>
      <c r="T214" s="14"/>
      <c r="U214" s="14"/>
      <c r="V214" s="14"/>
      <c r="W214" s="14"/>
      <c r="X214" s="14"/>
      <c r="Y214" s="14"/>
      <c r="Z214" s="14"/>
      <c r="AA214" s="14"/>
      <c r="AB214" s="14"/>
      <c r="AD214" s="14"/>
      <c r="AE214" s="14"/>
      <c r="AF214" s="181"/>
      <c r="AI214" s="14"/>
      <c r="AJ214" s="14"/>
      <c r="AK214" s="181"/>
      <c r="AN214" s="14"/>
      <c r="AO214" s="14"/>
      <c r="AP214" s="193"/>
    </row>
    <row r="215" spans="1:42">
      <c r="A215" s="177"/>
      <c r="B215" s="14"/>
      <c r="C215" s="14"/>
      <c r="D215" s="14"/>
      <c r="E215" s="14"/>
      <c r="F215" s="181"/>
      <c r="G215" s="181"/>
      <c r="H215" s="181"/>
      <c r="I215" s="181"/>
      <c r="J215" s="14"/>
      <c r="K215" s="14"/>
      <c r="L215" s="14"/>
      <c r="M215" s="14"/>
      <c r="N215" s="14"/>
      <c r="O215" s="14"/>
      <c r="P215" s="14"/>
      <c r="Q215" s="181"/>
      <c r="R215" s="14"/>
      <c r="S215" s="14"/>
      <c r="T215" s="14"/>
      <c r="U215" s="14"/>
      <c r="V215" s="14"/>
      <c r="W215" s="14"/>
      <c r="X215" s="14"/>
      <c r="Y215" s="14"/>
      <c r="Z215" s="14"/>
      <c r="AA215" s="14"/>
      <c r="AB215" s="14"/>
      <c r="AD215" s="14"/>
      <c r="AE215" s="14"/>
      <c r="AF215" s="181"/>
      <c r="AI215" s="14"/>
      <c r="AJ215" s="14"/>
      <c r="AK215" s="181"/>
      <c r="AN215" s="14"/>
      <c r="AO215" s="14"/>
      <c r="AP215" s="193"/>
    </row>
    <row r="216" spans="1:42">
      <c r="A216" s="177"/>
      <c r="B216" s="14"/>
      <c r="C216" s="14"/>
      <c r="D216" s="14"/>
      <c r="E216" s="14"/>
      <c r="F216" s="181"/>
      <c r="G216" s="181"/>
      <c r="H216" s="181"/>
      <c r="I216" s="181"/>
      <c r="J216" s="14"/>
      <c r="K216" s="14"/>
      <c r="L216" s="14"/>
      <c r="M216" s="14"/>
      <c r="N216" s="14"/>
      <c r="O216" s="14"/>
      <c r="P216" s="14"/>
      <c r="Q216" s="181"/>
      <c r="R216" s="14"/>
      <c r="S216" s="14"/>
      <c r="T216" s="14"/>
      <c r="U216" s="14"/>
      <c r="V216" s="14"/>
      <c r="W216" s="14"/>
      <c r="X216" s="14"/>
      <c r="Y216" s="14"/>
      <c r="Z216" s="14"/>
      <c r="AA216" s="14"/>
      <c r="AB216" s="14"/>
      <c r="AD216" s="14"/>
      <c r="AE216" s="14"/>
      <c r="AF216" s="181"/>
      <c r="AI216" s="14"/>
      <c r="AJ216" s="14"/>
      <c r="AK216" s="181"/>
      <c r="AN216" s="14"/>
      <c r="AO216" s="14"/>
      <c r="AP216" s="193"/>
    </row>
    <row r="217" spans="1:42">
      <c r="A217" s="177"/>
      <c r="B217" s="14"/>
      <c r="C217" s="14"/>
      <c r="D217" s="14"/>
      <c r="E217" s="14"/>
      <c r="F217" s="181"/>
      <c r="G217" s="181"/>
      <c r="H217" s="181"/>
      <c r="I217" s="181"/>
      <c r="J217" s="14"/>
      <c r="K217" s="14"/>
      <c r="L217" s="14"/>
      <c r="M217" s="14"/>
      <c r="N217" s="14"/>
      <c r="O217" s="14"/>
      <c r="P217" s="14"/>
      <c r="Q217" s="181"/>
      <c r="R217" s="14"/>
      <c r="S217" s="14"/>
      <c r="T217" s="14"/>
      <c r="U217" s="14"/>
      <c r="V217" s="14"/>
      <c r="W217" s="14"/>
      <c r="X217" s="14"/>
      <c r="Y217" s="14"/>
      <c r="Z217" s="14"/>
      <c r="AA217" s="14"/>
      <c r="AB217" s="14"/>
      <c r="AD217" s="14"/>
      <c r="AE217" s="14"/>
      <c r="AF217" s="181"/>
      <c r="AI217" s="14"/>
      <c r="AJ217" s="14"/>
      <c r="AK217" s="181"/>
      <c r="AN217" s="14"/>
      <c r="AO217" s="14"/>
      <c r="AP217" s="193"/>
    </row>
    <row r="218" spans="1:42">
      <c r="A218" s="177"/>
      <c r="B218" s="14"/>
      <c r="C218" s="14"/>
      <c r="D218" s="14"/>
      <c r="E218" s="14"/>
      <c r="F218" s="181"/>
      <c r="G218" s="181"/>
      <c r="H218" s="181"/>
      <c r="I218" s="181"/>
      <c r="J218" s="14"/>
      <c r="K218" s="14"/>
      <c r="L218" s="14"/>
      <c r="M218" s="14"/>
      <c r="N218" s="14"/>
      <c r="O218" s="14"/>
      <c r="P218" s="14"/>
      <c r="Q218" s="181"/>
      <c r="R218" s="14"/>
      <c r="S218" s="14"/>
      <c r="T218" s="14"/>
      <c r="U218" s="14"/>
      <c r="V218" s="14"/>
      <c r="W218" s="14"/>
      <c r="X218" s="14"/>
      <c r="Y218" s="14"/>
      <c r="Z218" s="14"/>
      <c r="AA218" s="14"/>
      <c r="AB218" s="14"/>
      <c r="AD218" s="14"/>
      <c r="AE218" s="14"/>
      <c r="AF218" s="181"/>
      <c r="AI218" s="14"/>
      <c r="AJ218" s="14"/>
      <c r="AK218" s="181"/>
      <c r="AN218" s="14"/>
      <c r="AO218" s="14"/>
      <c r="AP218" s="193"/>
    </row>
    <row r="219" spans="1:42">
      <c r="A219" s="177"/>
      <c r="B219" s="14"/>
      <c r="C219" s="14"/>
      <c r="D219" s="14"/>
      <c r="E219" s="14"/>
      <c r="F219" s="181"/>
      <c r="G219" s="181"/>
      <c r="H219" s="181"/>
      <c r="I219" s="181"/>
      <c r="J219" s="14"/>
      <c r="K219" s="14"/>
      <c r="L219" s="14"/>
      <c r="M219" s="14"/>
      <c r="N219" s="14"/>
      <c r="O219" s="14"/>
      <c r="P219" s="14"/>
      <c r="Q219" s="181"/>
      <c r="R219" s="14"/>
      <c r="S219" s="14"/>
      <c r="T219" s="14"/>
      <c r="U219" s="14"/>
      <c r="V219" s="14"/>
      <c r="W219" s="14"/>
      <c r="X219" s="14"/>
      <c r="Y219" s="14"/>
      <c r="Z219" s="14"/>
      <c r="AA219" s="14"/>
      <c r="AB219" s="14"/>
      <c r="AD219" s="14"/>
      <c r="AE219" s="14"/>
      <c r="AF219" s="181"/>
      <c r="AI219" s="14"/>
      <c r="AJ219" s="14"/>
      <c r="AK219" s="181"/>
      <c r="AN219" s="14"/>
      <c r="AO219" s="14"/>
      <c r="AP219" s="193"/>
    </row>
    <row r="220" spans="1:42">
      <c r="A220" s="177"/>
      <c r="B220" s="14"/>
      <c r="C220" s="14"/>
      <c r="D220" s="14"/>
      <c r="E220" s="14"/>
      <c r="F220" s="181"/>
      <c r="G220" s="181"/>
      <c r="H220" s="181"/>
      <c r="I220" s="181"/>
      <c r="J220" s="14"/>
      <c r="K220" s="14"/>
      <c r="L220" s="14"/>
      <c r="M220" s="14"/>
      <c r="N220" s="14"/>
      <c r="O220" s="14"/>
      <c r="P220" s="14"/>
      <c r="Q220" s="181"/>
      <c r="R220" s="14"/>
      <c r="S220" s="14"/>
      <c r="T220" s="14"/>
      <c r="U220" s="14"/>
      <c r="V220" s="14"/>
      <c r="W220" s="14"/>
      <c r="X220" s="14"/>
      <c r="Y220" s="14"/>
      <c r="Z220" s="14"/>
      <c r="AA220" s="14"/>
      <c r="AB220" s="14"/>
      <c r="AD220" s="14"/>
      <c r="AE220" s="14"/>
      <c r="AF220" s="181"/>
      <c r="AI220" s="14"/>
      <c r="AJ220" s="14"/>
      <c r="AK220" s="181"/>
      <c r="AN220" s="14"/>
      <c r="AO220" s="14"/>
      <c r="AP220" s="193"/>
    </row>
    <row r="221" spans="1:42">
      <c r="A221" s="177"/>
      <c r="B221" s="14"/>
      <c r="C221" s="14"/>
      <c r="D221" s="14"/>
      <c r="E221" s="14"/>
      <c r="F221" s="181"/>
      <c r="G221" s="181"/>
      <c r="H221" s="181"/>
      <c r="I221" s="181"/>
      <c r="J221" s="14"/>
      <c r="K221" s="14"/>
      <c r="L221" s="14"/>
      <c r="M221" s="14"/>
      <c r="N221" s="14"/>
      <c r="O221" s="14"/>
      <c r="P221" s="14"/>
      <c r="Q221" s="181"/>
      <c r="R221" s="14"/>
      <c r="S221" s="14"/>
      <c r="T221" s="14"/>
      <c r="U221" s="14"/>
      <c r="V221" s="14"/>
      <c r="W221" s="14"/>
      <c r="X221" s="14"/>
      <c r="Y221" s="14"/>
      <c r="Z221" s="14"/>
      <c r="AA221" s="14"/>
      <c r="AB221" s="14"/>
      <c r="AD221" s="14"/>
      <c r="AE221" s="14"/>
      <c r="AF221" s="181"/>
      <c r="AI221" s="14"/>
      <c r="AJ221" s="14"/>
      <c r="AK221" s="181"/>
      <c r="AN221" s="14"/>
      <c r="AO221" s="14"/>
      <c r="AP221" s="193"/>
    </row>
    <row r="222" spans="1:42">
      <c r="A222" s="177"/>
      <c r="B222" s="14"/>
      <c r="C222" s="14"/>
      <c r="D222" s="14"/>
      <c r="E222" s="14"/>
      <c r="F222" s="181"/>
      <c r="G222" s="181"/>
      <c r="H222" s="181"/>
      <c r="I222" s="181"/>
      <c r="J222" s="14"/>
      <c r="K222" s="14"/>
      <c r="L222" s="14"/>
      <c r="M222" s="14"/>
      <c r="N222" s="14"/>
      <c r="O222" s="14"/>
      <c r="P222" s="14"/>
      <c r="Q222" s="181"/>
      <c r="R222" s="14"/>
      <c r="S222" s="14"/>
      <c r="T222" s="14"/>
      <c r="U222" s="14"/>
      <c r="V222" s="14"/>
      <c r="W222" s="14"/>
      <c r="X222" s="14"/>
      <c r="Y222" s="14"/>
      <c r="Z222" s="14"/>
      <c r="AA222" s="14"/>
      <c r="AB222" s="14"/>
      <c r="AD222" s="14"/>
      <c r="AE222" s="14"/>
      <c r="AF222" s="181"/>
      <c r="AI222" s="14"/>
      <c r="AJ222" s="14"/>
      <c r="AK222" s="181"/>
      <c r="AN222" s="14"/>
      <c r="AO222" s="14"/>
      <c r="AP222" s="193"/>
    </row>
    <row r="223" spans="1:42">
      <c r="A223" s="177"/>
      <c r="B223" s="14"/>
      <c r="C223" s="14"/>
      <c r="D223" s="14"/>
      <c r="E223" s="14"/>
      <c r="F223" s="181"/>
      <c r="G223" s="181"/>
      <c r="H223" s="181"/>
      <c r="I223" s="181"/>
      <c r="J223" s="14"/>
      <c r="K223" s="14"/>
      <c r="L223" s="14"/>
      <c r="M223" s="14"/>
      <c r="N223" s="14"/>
      <c r="O223" s="14"/>
      <c r="P223" s="14"/>
      <c r="Q223" s="181"/>
      <c r="R223" s="14"/>
      <c r="S223" s="14"/>
      <c r="T223" s="14"/>
      <c r="U223" s="14"/>
      <c r="V223" s="14"/>
      <c r="W223" s="14"/>
      <c r="X223" s="14"/>
      <c r="Y223" s="14"/>
      <c r="Z223" s="14"/>
      <c r="AA223" s="14"/>
      <c r="AB223" s="14"/>
      <c r="AD223" s="14"/>
      <c r="AE223" s="14"/>
      <c r="AF223" s="181"/>
      <c r="AI223" s="14"/>
      <c r="AJ223" s="14"/>
      <c r="AK223" s="181"/>
      <c r="AN223" s="14"/>
      <c r="AO223" s="14"/>
      <c r="AP223" s="193"/>
    </row>
    <row r="224" spans="1:42">
      <c r="A224" s="177"/>
      <c r="B224" s="14"/>
      <c r="C224" s="14"/>
      <c r="D224" s="14"/>
      <c r="E224" s="14"/>
      <c r="F224" s="181"/>
      <c r="G224" s="181"/>
      <c r="H224" s="181"/>
      <c r="I224" s="181"/>
      <c r="J224" s="14"/>
      <c r="K224" s="14"/>
      <c r="L224" s="14"/>
      <c r="M224" s="14"/>
      <c r="N224" s="14"/>
      <c r="O224" s="14"/>
      <c r="P224" s="14"/>
      <c r="Q224" s="181"/>
      <c r="R224" s="14"/>
      <c r="S224" s="14"/>
      <c r="T224" s="14"/>
      <c r="U224" s="14"/>
      <c r="V224" s="14"/>
      <c r="W224" s="14"/>
      <c r="X224" s="14"/>
      <c r="Y224" s="14"/>
      <c r="Z224" s="14"/>
      <c r="AA224" s="14"/>
      <c r="AB224" s="14"/>
      <c r="AD224" s="14"/>
      <c r="AE224" s="14"/>
      <c r="AF224" s="181"/>
      <c r="AI224" s="14"/>
      <c r="AJ224" s="14"/>
      <c r="AK224" s="181"/>
      <c r="AN224" s="14"/>
      <c r="AO224" s="14"/>
      <c r="AP224" s="193"/>
    </row>
    <row r="225" spans="1:42">
      <c r="A225" s="177"/>
      <c r="B225" s="14"/>
      <c r="C225" s="14"/>
      <c r="D225" s="14"/>
      <c r="E225" s="14"/>
      <c r="F225" s="181"/>
      <c r="G225" s="181"/>
      <c r="H225" s="181"/>
      <c r="I225" s="181"/>
      <c r="J225" s="14"/>
      <c r="K225" s="14"/>
      <c r="L225" s="14"/>
      <c r="M225" s="14"/>
      <c r="N225" s="14"/>
      <c r="O225" s="14"/>
      <c r="P225" s="14"/>
      <c r="Q225" s="181"/>
      <c r="R225" s="14"/>
      <c r="S225" s="14"/>
      <c r="T225" s="14"/>
      <c r="U225" s="14"/>
      <c r="V225" s="14"/>
      <c r="W225" s="14"/>
      <c r="X225" s="14"/>
      <c r="Y225" s="14"/>
      <c r="Z225" s="14"/>
      <c r="AA225" s="14"/>
      <c r="AB225" s="14"/>
      <c r="AD225" s="14"/>
      <c r="AE225" s="14"/>
      <c r="AF225" s="181"/>
      <c r="AI225" s="14"/>
      <c r="AJ225" s="14"/>
      <c r="AK225" s="181"/>
      <c r="AN225" s="14"/>
      <c r="AO225" s="14"/>
      <c r="AP225" s="193"/>
    </row>
    <row r="226" spans="1:42">
      <c r="A226" s="177"/>
      <c r="B226" s="14"/>
      <c r="C226" s="14"/>
      <c r="D226" s="14"/>
      <c r="E226" s="14"/>
      <c r="F226" s="181"/>
      <c r="G226" s="181"/>
      <c r="H226" s="181"/>
      <c r="I226" s="181"/>
      <c r="J226" s="14"/>
      <c r="K226" s="14"/>
      <c r="L226" s="14"/>
      <c r="M226" s="14"/>
      <c r="N226" s="14"/>
      <c r="O226" s="14"/>
      <c r="P226" s="14"/>
      <c r="Q226" s="181"/>
      <c r="R226" s="14"/>
      <c r="S226" s="14"/>
      <c r="T226" s="14"/>
      <c r="U226" s="14"/>
      <c r="V226" s="14"/>
      <c r="W226" s="14"/>
      <c r="X226" s="14"/>
      <c r="Y226" s="14"/>
      <c r="Z226" s="14"/>
      <c r="AA226" s="14"/>
      <c r="AB226" s="14"/>
      <c r="AD226" s="14"/>
      <c r="AE226" s="14"/>
      <c r="AF226" s="181"/>
      <c r="AI226" s="14"/>
      <c r="AJ226" s="14"/>
      <c r="AK226" s="181"/>
      <c r="AN226" s="14"/>
      <c r="AO226" s="14"/>
      <c r="AP226" s="193"/>
    </row>
    <row r="227" spans="1:42">
      <c r="A227" s="177"/>
      <c r="B227" s="14"/>
      <c r="C227" s="14"/>
      <c r="D227" s="14"/>
      <c r="E227" s="14"/>
      <c r="F227" s="181"/>
      <c r="G227" s="181"/>
      <c r="H227" s="181"/>
      <c r="I227" s="181"/>
      <c r="J227" s="14"/>
      <c r="K227" s="14"/>
      <c r="L227" s="14"/>
      <c r="M227" s="14"/>
      <c r="N227" s="14"/>
      <c r="O227" s="14"/>
      <c r="P227" s="14"/>
      <c r="Q227" s="181"/>
      <c r="R227" s="14"/>
      <c r="S227" s="14"/>
      <c r="T227" s="14"/>
      <c r="U227" s="14"/>
      <c r="V227" s="14"/>
      <c r="W227" s="14"/>
      <c r="X227" s="14"/>
      <c r="Y227" s="14"/>
      <c r="Z227" s="14"/>
      <c r="AA227" s="14"/>
      <c r="AB227" s="14"/>
      <c r="AD227" s="14"/>
      <c r="AE227" s="14"/>
      <c r="AF227" s="181"/>
      <c r="AI227" s="14"/>
      <c r="AJ227" s="14"/>
      <c r="AK227" s="181"/>
      <c r="AN227" s="14"/>
      <c r="AO227" s="14"/>
      <c r="AP227" s="193"/>
    </row>
    <row r="228" spans="1:42">
      <c r="A228" s="177"/>
      <c r="B228" s="14"/>
      <c r="C228" s="14"/>
      <c r="D228" s="14"/>
      <c r="E228" s="14"/>
      <c r="F228" s="181"/>
      <c r="G228" s="181"/>
      <c r="H228" s="181"/>
      <c r="I228" s="181"/>
      <c r="J228" s="14"/>
      <c r="K228" s="14"/>
      <c r="L228" s="14"/>
      <c r="M228" s="14"/>
      <c r="N228" s="14"/>
      <c r="O228" s="14"/>
      <c r="P228" s="14"/>
      <c r="Q228" s="181"/>
      <c r="R228" s="14"/>
      <c r="S228" s="14"/>
      <c r="T228" s="14"/>
      <c r="U228" s="14"/>
      <c r="V228" s="14"/>
      <c r="W228" s="14"/>
      <c r="X228" s="14"/>
      <c r="Y228" s="14"/>
      <c r="Z228" s="14"/>
      <c r="AA228" s="14"/>
      <c r="AB228" s="14"/>
      <c r="AD228" s="14"/>
      <c r="AE228" s="14"/>
      <c r="AF228" s="181"/>
      <c r="AI228" s="14"/>
      <c r="AJ228" s="14"/>
      <c r="AK228" s="181"/>
      <c r="AN228" s="14"/>
      <c r="AO228" s="14"/>
      <c r="AP228" s="193"/>
    </row>
    <row r="229" spans="1:42">
      <c r="A229" s="177"/>
      <c r="B229" s="14"/>
      <c r="C229" s="14"/>
      <c r="D229" s="14"/>
      <c r="E229" s="14"/>
      <c r="F229" s="181"/>
      <c r="G229" s="181"/>
      <c r="H229" s="181"/>
      <c r="I229" s="181"/>
      <c r="J229" s="14"/>
      <c r="K229" s="14"/>
      <c r="L229" s="14"/>
      <c r="M229" s="14"/>
      <c r="N229" s="14"/>
      <c r="O229" s="14"/>
      <c r="P229" s="14"/>
      <c r="Q229" s="181"/>
      <c r="R229" s="14"/>
      <c r="S229" s="14"/>
      <c r="T229" s="14"/>
      <c r="U229" s="14"/>
      <c r="V229" s="14"/>
      <c r="W229" s="14"/>
      <c r="X229" s="14"/>
      <c r="Y229" s="14"/>
      <c r="Z229" s="14"/>
      <c r="AA229" s="14"/>
      <c r="AB229" s="14"/>
      <c r="AD229" s="14"/>
      <c r="AE229" s="14"/>
      <c r="AF229" s="181"/>
      <c r="AI229" s="14"/>
      <c r="AJ229" s="14"/>
      <c r="AK229" s="181"/>
      <c r="AN229" s="14"/>
      <c r="AO229" s="14"/>
      <c r="AP229" s="193"/>
    </row>
    <row r="230" spans="1:42">
      <c r="A230" s="177"/>
      <c r="B230" s="14"/>
      <c r="C230" s="14"/>
      <c r="D230" s="14"/>
      <c r="E230" s="14"/>
      <c r="F230" s="181"/>
      <c r="G230" s="181"/>
      <c r="H230" s="181"/>
      <c r="I230" s="181"/>
      <c r="J230" s="14"/>
      <c r="K230" s="14"/>
      <c r="L230" s="14"/>
      <c r="M230" s="14"/>
      <c r="N230" s="14"/>
      <c r="O230" s="14"/>
      <c r="P230" s="14"/>
      <c r="Q230" s="181"/>
      <c r="R230" s="14"/>
      <c r="S230" s="14"/>
      <c r="T230" s="14"/>
      <c r="U230" s="14"/>
      <c r="V230" s="14"/>
      <c r="W230" s="14"/>
      <c r="X230" s="14"/>
      <c r="Y230" s="14"/>
      <c r="Z230" s="14"/>
      <c r="AA230" s="14"/>
      <c r="AB230" s="14"/>
      <c r="AD230" s="14"/>
      <c r="AE230" s="14"/>
      <c r="AF230" s="181"/>
      <c r="AI230" s="14"/>
      <c r="AJ230" s="14"/>
      <c r="AK230" s="181"/>
      <c r="AN230" s="14"/>
      <c r="AO230" s="14"/>
      <c r="AP230" s="193"/>
    </row>
    <row r="231" spans="1:42">
      <c r="O231" s="14"/>
      <c r="P231" s="14"/>
      <c r="Z231" s="13"/>
      <c r="AA231" s="13"/>
      <c r="AB231" s="13"/>
    </row>
    <row r="232" spans="1:42">
      <c r="O232" s="14"/>
      <c r="P232" s="14"/>
      <c r="Z232" s="13"/>
      <c r="AA232" s="13"/>
      <c r="AB232" s="13"/>
    </row>
    <row r="233" spans="1:42">
      <c r="O233" s="14"/>
      <c r="P233" s="14"/>
      <c r="Z233" s="13"/>
      <c r="AA233" s="13"/>
      <c r="AB233" s="13"/>
    </row>
    <row r="234" spans="1:42">
      <c r="O234" s="14"/>
      <c r="P234" s="14"/>
      <c r="Z234" s="13"/>
      <c r="AA234" s="13"/>
      <c r="AB234" s="13"/>
    </row>
    <row r="235" spans="1:42">
      <c r="O235" s="14"/>
      <c r="P235" s="14"/>
      <c r="Z235" s="13"/>
      <c r="AA235" s="13"/>
      <c r="AB235" s="13"/>
    </row>
    <row r="236" spans="1:42">
      <c r="O236" s="14"/>
      <c r="P236" s="14"/>
      <c r="Z236" s="13"/>
      <c r="AA236" s="13"/>
      <c r="AB236" s="13"/>
    </row>
    <row r="237" spans="1:42">
      <c r="O237" s="14"/>
      <c r="P237" s="14"/>
      <c r="Z237" s="13"/>
      <c r="AA237" s="13"/>
      <c r="AB237" s="13"/>
    </row>
    <row r="238" spans="1:42">
      <c r="O238" s="14"/>
      <c r="P238" s="14"/>
      <c r="Z238" s="13"/>
      <c r="AA238" s="13"/>
      <c r="AB238" s="13"/>
    </row>
    <row r="239" spans="1:42">
      <c r="O239" s="14"/>
      <c r="P239" s="14"/>
      <c r="Z239" s="13"/>
      <c r="AA239" s="13"/>
      <c r="AB239" s="13"/>
    </row>
    <row r="240" spans="1:42">
      <c r="O240" s="14"/>
      <c r="P240" s="14"/>
      <c r="Z240" s="13"/>
      <c r="AA240" s="13"/>
      <c r="AB240" s="13"/>
    </row>
    <row r="241" spans="15:28">
      <c r="O241" s="14"/>
      <c r="P241" s="14"/>
      <c r="Z241" s="13"/>
      <c r="AA241" s="13"/>
      <c r="AB241" s="13"/>
    </row>
    <row r="242" spans="15:28">
      <c r="O242" s="14"/>
      <c r="P242" s="14"/>
      <c r="Z242" s="13"/>
      <c r="AA242" s="13"/>
      <c r="AB242" s="13"/>
    </row>
    <row r="243" spans="15:28">
      <c r="O243" s="14"/>
      <c r="P243" s="14"/>
      <c r="Z243" s="13"/>
      <c r="AA243" s="13"/>
      <c r="AB243" s="13"/>
    </row>
    <row r="244" spans="15:28">
      <c r="O244" s="14"/>
      <c r="P244" s="14"/>
      <c r="Z244" s="13"/>
      <c r="AA244" s="13"/>
      <c r="AB244" s="13"/>
    </row>
    <row r="245" spans="15:28">
      <c r="O245" s="14"/>
      <c r="P245" s="14"/>
      <c r="Z245" s="13"/>
      <c r="AA245" s="13"/>
      <c r="AB245" s="13"/>
    </row>
    <row r="246" spans="15:28">
      <c r="O246" s="14"/>
      <c r="P246" s="14"/>
      <c r="Z246" s="13"/>
      <c r="AA246" s="13"/>
      <c r="AB246" s="13"/>
    </row>
    <row r="247" spans="15:28">
      <c r="O247" s="14"/>
      <c r="P247" s="14"/>
      <c r="Z247" s="13"/>
      <c r="AA247" s="13"/>
      <c r="AB247" s="13"/>
    </row>
    <row r="248" spans="15:28">
      <c r="O248" s="14"/>
      <c r="P248" s="14"/>
      <c r="Z248" s="13"/>
      <c r="AA248" s="13"/>
      <c r="AB248" s="13"/>
    </row>
    <row r="249" spans="15:28">
      <c r="O249" s="14"/>
      <c r="P249" s="14"/>
      <c r="Z249" s="13"/>
      <c r="AA249" s="13"/>
      <c r="AB249" s="13"/>
    </row>
    <row r="250" spans="15:28">
      <c r="O250" s="14"/>
      <c r="P250" s="14"/>
      <c r="Z250" s="13"/>
      <c r="AA250" s="13"/>
      <c r="AB250" s="13"/>
    </row>
    <row r="251" spans="15:28">
      <c r="O251" s="14"/>
      <c r="P251" s="14"/>
      <c r="Z251" s="13"/>
      <c r="AA251" s="13"/>
      <c r="AB251" s="13"/>
    </row>
    <row r="252" spans="15:28">
      <c r="O252" s="14"/>
      <c r="P252" s="14"/>
      <c r="Z252" s="13"/>
      <c r="AA252" s="13"/>
      <c r="AB252" s="13"/>
    </row>
    <row r="253" spans="15:28">
      <c r="O253" s="14"/>
      <c r="P253" s="14"/>
      <c r="Z253" s="13"/>
      <c r="AA253" s="13"/>
      <c r="AB253" s="13"/>
    </row>
    <row r="254" spans="15:28">
      <c r="O254" s="14"/>
      <c r="P254" s="14"/>
      <c r="Z254" s="13"/>
      <c r="AA254" s="13"/>
      <c r="AB254" s="13"/>
    </row>
    <row r="255" spans="15:28">
      <c r="O255" s="14"/>
      <c r="P255" s="14"/>
      <c r="Z255" s="13"/>
      <c r="AA255" s="13"/>
      <c r="AB255" s="13"/>
    </row>
    <row r="256" spans="15:28">
      <c r="O256" s="14"/>
      <c r="P256" s="14"/>
      <c r="Z256" s="13"/>
      <c r="AA256" s="13"/>
      <c r="AB256" s="13"/>
    </row>
    <row r="257" spans="15:28">
      <c r="O257" s="14"/>
      <c r="P257" s="14"/>
      <c r="Z257" s="13"/>
      <c r="AA257" s="13"/>
      <c r="AB257" s="13"/>
    </row>
    <row r="258" spans="15:28">
      <c r="O258" s="14"/>
      <c r="P258" s="14"/>
      <c r="Z258" s="13"/>
      <c r="AA258" s="13"/>
      <c r="AB258" s="13"/>
    </row>
    <row r="259" spans="15:28">
      <c r="O259" s="14"/>
      <c r="P259" s="14"/>
      <c r="Z259" s="13"/>
      <c r="AA259" s="13"/>
      <c r="AB259" s="13"/>
    </row>
    <row r="260" spans="15:28">
      <c r="O260" s="14"/>
      <c r="P260" s="14"/>
      <c r="Z260" s="13"/>
      <c r="AA260" s="13"/>
      <c r="AB260" s="13"/>
    </row>
    <row r="261" spans="15:28">
      <c r="O261" s="14"/>
      <c r="P261" s="14"/>
      <c r="Z261" s="13"/>
      <c r="AA261" s="13"/>
      <c r="AB261" s="13"/>
    </row>
    <row r="262" spans="15:28">
      <c r="O262" s="14"/>
      <c r="P262" s="14"/>
      <c r="Z262" s="13"/>
      <c r="AA262" s="13"/>
      <c r="AB262" s="13"/>
    </row>
    <row r="263" spans="15:28">
      <c r="O263" s="14"/>
      <c r="P263" s="14"/>
      <c r="Z263" s="13"/>
      <c r="AA263" s="13"/>
      <c r="AB263" s="13"/>
    </row>
    <row r="264" spans="15:28">
      <c r="O264" s="14"/>
      <c r="P264" s="14"/>
      <c r="Z264" s="13"/>
      <c r="AA264" s="13"/>
      <c r="AB264" s="13"/>
    </row>
    <row r="265" spans="15:28">
      <c r="O265" s="14"/>
      <c r="P265" s="14"/>
      <c r="Z265" s="13"/>
      <c r="AA265" s="13"/>
      <c r="AB265" s="13"/>
    </row>
    <row r="266" spans="15:28">
      <c r="O266" s="14"/>
      <c r="P266" s="14"/>
      <c r="Z266" s="13"/>
      <c r="AA266" s="13"/>
      <c r="AB266" s="13"/>
    </row>
    <row r="267" spans="15:28">
      <c r="O267" s="14"/>
      <c r="P267" s="14"/>
      <c r="Z267" s="13"/>
      <c r="AA267" s="13"/>
      <c r="AB267" s="13"/>
    </row>
    <row r="268" spans="15:28">
      <c r="O268" s="14"/>
      <c r="P268" s="14"/>
      <c r="Z268" s="13"/>
      <c r="AA268" s="13"/>
      <c r="AB268" s="13"/>
    </row>
    <row r="269" spans="15:28">
      <c r="O269" s="14"/>
      <c r="P269" s="14"/>
      <c r="Z269" s="13"/>
      <c r="AA269" s="13"/>
      <c r="AB269" s="13"/>
    </row>
    <row r="270" spans="15:28">
      <c r="O270" s="14"/>
      <c r="P270" s="14"/>
      <c r="Z270" s="13"/>
      <c r="AA270" s="13"/>
      <c r="AB270" s="13"/>
    </row>
    <row r="271" spans="15:28">
      <c r="O271" s="14"/>
      <c r="P271" s="14"/>
      <c r="Z271" s="13"/>
      <c r="AA271" s="13"/>
      <c r="AB271" s="13"/>
    </row>
    <row r="272" spans="15:28">
      <c r="O272" s="14"/>
      <c r="P272" s="14"/>
      <c r="Z272" s="13"/>
      <c r="AA272" s="13"/>
      <c r="AB272" s="13"/>
    </row>
    <row r="273" spans="15:28">
      <c r="O273" s="14"/>
      <c r="P273" s="14"/>
      <c r="Z273" s="13"/>
      <c r="AA273" s="13"/>
      <c r="AB273" s="13"/>
    </row>
    <row r="274" spans="15:28">
      <c r="Z274" s="178"/>
      <c r="AA274" s="178"/>
      <c r="AB274" s="178"/>
    </row>
    <row r="275" spans="15:28">
      <c r="Z275" s="178"/>
      <c r="AA275" s="178"/>
      <c r="AB275" s="178"/>
    </row>
    <row r="276" spans="15:28">
      <c r="Z276" s="178"/>
      <c r="AA276" s="178"/>
      <c r="AB276" s="178"/>
    </row>
    <row r="277" spans="15:28">
      <c r="Z277" s="178"/>
      <c r="AA277" s="178"/>
      <c r="AB277" s="178"/>
    </row>
    <row r="278" spans="15:28">
      <c r="Z278" s="178"/>
      <c r="AA278" s="178"/>
      <c r="AB278" s="178"/>
    </row>
    <row r="279" spans="15:28">
      <c r="Z279" s="178"/>
      <c r="AA279" s="178"/>
      <c r="AB279" s="178"/>
    </row>
    <row r="280" spans="15:28">
      <c r="Z280" s="178"/>
      <c r="AA280" s="178"/>
      <c r="AB280" s="178"/>
    </row>
    <row r="281" spans="15:28">
      <c r="Z281" s="178"/>
      <c r="AA281" s="178"/>
      <c r="AB281" s="178"/>
    </row>
    <row r="282" spans="15:28">
      <c r="Z282" s="178"/>
      <c r="AA282" s="178"/>
      <c r="AB282" s="178"/>
    </row>
    <row r="283" spans="15:28">
      <c r="Z283" s="178"/>
      <c r="AA283" s="178"/>
      <c r="AB283" s="178"/>
    </row>
    <row r="284" spans="15:28">
      <c r="Z284" s="178"/>
      <c r="AA284" s="178"/>
      <c r="AB284" s="178"/>
    </row>
    <row r="285" spans="15:28">
      <c r="Z285" s="178"/>
      <c r="AA285" s="178"/>
      <c r="AB285" s="178"/>
    </row>
    <row r="286" spans="15:28">
      <c r="Z286" s="178"/>
      <c r="AA286" s="178"/>
      <c r="AB286" s="178"/>
    </row>
    <row r="287" spans="15:28">
      <c r="Z287" s="178"/>
      <c r="AA287" s="178"/>
      <c r="AB287" s="178"/>
    </row>
    <row r="288" spans="15:28">
      <c r="Z288" s="178"/>
      <c r="AA288" s="178"/>
      <c r="AB288" s="178"/>
    </row>
    <row r="289" spans="26:28">
      <c r="Z289" s="178"/>
      <c r="AA289" s="178"/>
      <c r="AB289" s="178"/>
    </row>
    <row r="290" spans="26:28">
      <c r="Z290" s="178"/>
      <c r="AA290" s="178"/>
      <c r="AB290" s="178"/>
    </row>
    <row r="291" spans="26:28">
      <c r="Z291" s="178"/>
      <c r="AA291" s="178"/>
      <c r="AB291" s="178"/>
    </row>
    <row r="292" spans="26:28">
      <c r="Z292" s="178"/>
      <c r="AA292" s="178"/>
      <c r="AB292" s="178"/>
    </row>
    <row r="293" spans="26:28">
      <c r="Z293" s="178"/>
      <c r="AA293" s="178"/>
      <c r="AB293" s="178"/>
    </row>
    <row r="294" spans="26:28">
      <c r="Z294" s="178"/>
      <c r="AA294" s="178"/>
      <c r="AB294" s="178"/>
    </row>
    <row r="295" spans="26:28">
      <c r="Z295" s="178"/>
      <c r="AA295" s="178"/>
      <c r="AB295" s="178"/>
    </row>
    <row r="296" spans="26:28">
      <c r="Z296" s="178"/>
      <c r="AA296" s="178"/>
      <c r="AB296" s="178"/>
    </row>
    <row r="297" spans="26:28">
      <c r="Z297" s="178"/>
      <c r="AA297" s="178"/>
      <c r="AB297" s="178"/>
    </row>
    <row r="298" spans="26:28">
      <c r="Z298" s="178"/>
      <c r="AA298" s="178"/>
      <c r="AB298" s="178"/>
    </row>
    <row r="299" spans="26:28">
      <c r="Z299" s="178"/>
      <c r="AA299" s="178"/>
      <c r="AB299" s="178"/>
    </row>
    <row r="300" spans="26:28">
      <c r="Z300" s="178"/>
      <c r="AA300" s="178"/>
      <c r="AB300" s="178"/>
    </row>
    <row r="301" spans="26:28">
      <c r="Z301" s="178"/>
      <c r="AA301" s="178"/>
      <c r="AB301" s="178"/>
    </row>
    <row r="302" spans="26:28">
      <c r="Z302" s="178"/>
      <c r="AA302" s="178"/>
      <c r="AB302" s="178"/>
    </row>
    <row r="303" spans="26:28">
      <c r="Z303" s="178"/>
      <c r="AA303" s="178"/>
      <c r="AB303" s="178"/>
    </row>
    <row r="304" spans="26:28">
      <c r="Z304" s="178"/>
      <c r="AA304" s="178"/>
      <c r="AB304" s="178"/>
    </row>
    <row r="305" spans="26:28">
      <c r="Z305" s="178"/>
      <c r="AA305" s="178"/>
      <c r="AB305" s="178"/>
    </row>
    <row r="306" spans="26:28">
      <c r="Z306" s="178"/>
      <c r="AA306" s="178"/>
      <c r="AB306" s="178"/>
    </row>
    <row r="307" spans="26:28">
      <c r="Z307" s="178"/>
      <c r="AA307" s="178"/>
      <c r="AB307" s="178"/>
    </row>
    <row r="308" spans="26:28">
      <c r="Z308" s="178"/>
      <c r="AA308" s="178"/>
      <c r="AB308" s="178"/>
    </row>
    <row r="309" spans="26:28">
      <c r="Z309" s="178"/>
      <c r="AA309" s="178"/>
      <c r="AB309" s="178"/>
    </row>
    <row r="310" spans="26:28">
      <c r="Z310" s="178"/>
      <c r="AA310" s="178"/>
      <c r="AB310" s="178"/>
    </row>
    <row r="311" spans="26:28">
      <c r="Z311" s="178"/>
      <c r="AA311" s="178"/>
      <c r="AB311" s="178"/>
    </row>
    <row r="312" spans="26:28">
      <c r="Z312" s="178"/>
      <c r="AA312" s="178"/>
      <c r="AB312" s="178"/>
    </row>
    <row r="313" spans="26:28">
      <c r="Z313" s="178"/>
      <c r="AA313" s="178"/>
      <c r="AB313" s="178"/>
    </row>
    <row r="314" spans="26:28">
      <c r="Z314" s="178"/>
      <c r="AA314" s="178"/>
      <c r="AB314" s="178"/>
    </row>
    <row r="315" spans="26:28">
      <c r="Z315" s="178"/>
      <c r="AA315" s="178"/>
      <c r="AB315" s="178"/>
    </row>
    <row r="316" spans="26:28">
      <c r="Z316" s="178"/>
      <c r="AA316" s="178"/>
      <c r="AB316" s="178"/>
    </row>
    <row r="317" spans="26:28">
      <c r="Z317" s="178"/>
      <c r="AA317" s="178"/>
      <c r="AB317" s="178"/>
    </row>
    <row r="318" spans="26:28">
      <c r="Z318" s="178"/>
      <c r="AA318" s="178"/>
      <c r="AB318" s="178"/>
    </row>
    <row r="319" spans="26:28">
      <c r="Z319" s="178"/>
      <c r="AA319" s="178"/>
      <c r="AB319" s="178"/>
    </row>
    <row r="320" spans="26:28">
      <c r="Z320" s="178"/>
      <c r="AA320" s="178"/>
      <c r="AB320" s="178"/>
    </row>
    <row r="321" spans="26:28">
      <c r="Z321" s="178"/>
      <c r="AA321" s="178"/>
      <c r="AB321" s="178"/>
    </row>
    <row r="322" spans="26:28">
      <c r="Z322" s="178"/>
      <c r="AA322" s="178"/>
      <c r="AB322" s="178"/>
    </row>
    <row r="323" spans="26:28">
      <c r="Z323" s="178"/>
      <c r="AA323" s="178"/>
      <c r="AB323" s="178"/>
    </row>
    <row r="324" spans="26:28">
      <c r="Z324" s="178"/>
      <c r="AA324" s="178"/>
      <c r="AB324" s="178"/>
    </row>
    <row r="325" spans="26:28">
      <c r="Z325" s="178"/>
      <c r="AA325" s="178"/>
      <c r="AB325" s="178"/>
    </row>
    <row r="326" spans="26:28">
      <c r="Z326" s="178"/>
      <c r="AA326" s="178"/>
      <c r="AB326" s="178"/>
    </row>
    <row r="327" spans="26:28">
      <c r="Z327" s="178"/>
      <c r="AA327" s="178"/>
      <c r="AB327" s="178"/>
    </row>
    <row r="328" spans="26:28">
      <c r="Z328" s="178"/>
      <c r="AA328" s="178"/>
      <c r="AB328" s="178"/>
    </row>
    <row r="329" spans="26:28">
      <c r="Z329" s="178"/>
      <c r="AA329" s="178"/>
      <c r="AB329" s="178"/>
    </row>
    <row r="330" spans="26:28">
      <c r="Z330" s="178"/>
      <c r="AA330" s="178"/>
      <c r="AB330" s="178"/>
    </row>
    <row r="331" spans="26:28">
      <c r="Z331" s="178"/>
      <c r="AA331" s="178"/>
      <c r="AB331" s="178"/>
    </row>
    <row r="332" spans="26:28">
      <c r="Z332" s="178"/>
      <c r="AA332" s="178"/>
      <c r="AB332" s="178"/>
    </row>
    <row r="333" spans="26:28">
      <c r="Z333" s="178"/>
      <c r="AA333" s="178"/>
      <c r="AB333" s="178"/>
    </row>
    <row r="334" spans="26:28">
      <c r="Z334" s="178"/>
      <c r="AA334" s="178"/>
      <c r="AB334" s="178"/>
    </row>
    <row r="335" spans="26:28">
      <c r="Z335" s="178"/>
      <c r="AA335" s="178"/>
      <c r="AB335" s="178"/>
    </row>
    <row r="336" spans="26:28">
      <c r="Z336" s="178"/>
      <c r="AA336" s="178"/>
      <c r="AB336" s="178"/>
    </row>
    <row r="337" spans="26:28">
      <c r="Z337" s="178"/>
      <c r="AA337" s="178"/>
      <c r="AB337" s="178"/>
    </row>
    <row r="338" spans="26:28">
      <c r="Z338" s="178"/>
      <c r="AA338" s="178"/>
      <c r="AB338" s="178"/>
    </row>
    <row r="339" spans="26:28">
      <c r="Z339" s="178"/>
      <c r="AA339" s="178"/>
      <c r="AB339" s="178"/>
    </row>
    <row r="340" spans="26:28">
      <c r="Z340" s="178"/>
      <c r="AA340" s="178"/>
      <c r="AB340" s="178"/>
    </row>
    <row r="341" spans="26:28">
      <c r="Z341" s="178"/>
      <c r="AA341" s="178"/>
      <c r="AB341" s="178"/>
    </row>
    <row r="342" spans="26:28">
      <c r="Z342" s="178"/>
      <c r="AA342" s="178"/>
      <c r="AB342" s="178"/>
    </row>
    <row r="343" spans="26:28">
      <c r="Z343" s="178"/>
      <c r="AA343" s="178"/>
      <c r="AB343" s="178"/>
    </row>
    <row r="344" spans="26:28">
      <c r="Z344" s="178"/>
      <c r="AA344" s="178"/>
      <c r="AB344" s="178"/>
    </row>
    <row r="345" spans="26:28">
      <c r="Z345" s="178"/>
      <c r="AA345" s="178"/>
      <c r="AB345" s="178"/>
    </row>
    <row r="346" spans="26:28">
      <c r="Z346" s="178"/>
      <c r="AA346" s="178"/>
      <c r="AB346" s="178"/>
    </row>
    <row r="347" spans="26:28">
      <c r="Z347" s="178"/>
      <c r="AA347" s="178"/>
      <c r="AB347" s="178"/>
    </row>
    <row r="348" spans="26:28">
      <c r="Z348" s="178"/>
      <c r="AA348" s="178"/>
      <c r="AB348" s="178"/>
    </row>
    <row r="349" spans="26:28">
      <c r="Z349" s="178"/>
      <c r="AA349" s="178"/>
      <c r="AB349" s="178"/>
    </row>
    <row r="350" spans="26:28">
      <c r="Z350" s="178"/>
      <c r="AA350" s="178"/>
      <c r="AB350" s="178"/>
    </row>
    <row r="351" spans="26:28">
      <c r="Z351" s="178"/>
      <c r="AA351" s="178"/>
      <c r="AB351" s="178"/>
    </row>
    <row r="352" spans="26:28">
      <c r="Z352" s="178"/>
      <c r="AA352" s="178"/>
      <c r="AB352" s="178"/>
    </row>
    <row r="353" spans="26:28">
      <c r="Z353" s="178"/>
      <c r="AA353" s="178"/>
      <c r="AB353" s="178"/>
    </row>
    <row r="354" spans="26:28">
      <c r="Z354" s="178"/>
      <c r="AA354" s="178"/>
      <c r="AB354" s="178"/>
    </row>
    <row r="355" spans="26:28">
      <c r="Z355" s="178"/>
      <c r="AA355" s="178"/>
      <c r="AB355" s="178"/>
    </row>
    <row r="356" spans="26:28">
      <c r="Z356" s="178"/>
      <c r="AA356" s="178"/>
      <c r="AB356" s="178"/>
    </row>
    <row r="357" spans="26:28">
      <c r="Z357" s="178"/>
      <c r="AA357" s="178"/>
      <c r="AB357" s="178"/>
    </row>
    <row r="358" spans="26:28">
      <c r="Z358" s="178"/>
      <c r="AA358" s="178"/>
      <c r="AB358" s="178"/>
    </row>
    <row r="359" spans="26:28">
      <c r="Z359" s="178"/>
      <c r="AA359" s="178"/>
      <c r="AB359" s="178"/>
    </row>
    <row r="360" spans="26:28">
      <c r="Z360" s="178"/>
      <c r="AA360" s="178"/>
      <c r="AB360" s="178"/>
    </row>
    <row r="361" spans="26:28">
      <c r="Z361" s="178"/>
      <c r="AA361" s="178"/>
      <c r="AB361" s="178"/>
    </row>
    <row r="362" spans="26:28">
      <c r="Z362" s="178"/>
      <c r="AA362" s="178"/>
      <c r="AB362" s="178"/>
    </row>
    <row r="363" spans="26:28">
      <c r="Z363" s="178"/>
      <c r="AA363" s="178"/>
      <c r="AB363" s="178"/>
    </row>
    <row r="364" spans="26:28">
      <c r="Z364" s="178"/>
      <c r="AA364" s="178"/>
      <c r="AB364" s="178"/>
    </row>
    <row r="365" spans="26:28">
      <c r="Z365" s="178"/>
      <c r="AA365" s="178"/>
      <c r="AB365" s="178"/>
    </row>
    <row r="366" spans="26:28">
      <c r="Z366" s="178"/>
      <c r="AA366" s="178"/>
      <c r="AB366" s="178"/>
    </row>
    <row r="367" spans="26:28">
      <c r="Z367" s="178"/>
      <c r="AA367" s="178"/>
      <c r="AB367" s="178"/>
    </row>
    <row r="368" spans="26:28">
      <c r="Z368" s="178"/>
      <c r="AA368" s="178"/>
      <c r="AB368" s="178"/>
    </row>
    <row r="369" spans="26:28">
      <c r="Z369" s="178"/>
      <c r="AA369" s="178"/>
      <c r="AB369" s="178"/>
    </row>
    <row r="370" spans="26:28">
      <c r="Z370" s="178"/>
      <c r="AA370" s="178"/>
      <c r="AB370" s="178"/>
    </row>
    <row r="371" spans="26:28">
      <c r="Z371" s="178"/>
      <c r="AA371" s="178"/>
      <c r="AB371" s="178"/>
    </row>
    <row r="372" spans="26:28">
      <c r="Z372" s="178"/>
      <c r="AA372" s="178"/>
      <c r="AB372" s="178"/>
    </row>
    <row r="373" spans="26:28">
      <c r="Z373" s="178"/>
      <c r="AA373" s="178"/>
      <c r="AB373" s="178"/>
    </row>
    <row r="374" spans="26:28">
      <c r="Z374" s="178"/>
      <c r="AA374" s="178"/>
      <c r="AB374" s="178"/>
    </row>
    <row r="375" spans="26:28">
      <c r="Z375" s="178"/>
      <c r="AA375" s="178"/>
      <c r="AB375" s="178"/>
    </row>
    <row r="376" spans="26:28">
      <c r="Z376" s="178"/>
      <c r="AA376" s="178"/>
      <c r="AB376" s="178"/>
    </row>
  </sheetData>
  <phoneticPr fontId="8" type="noConversion"/>
  <conditionalFormatting sqref="I117:I221">
    <cfRule type="cellIs" dxfId="0" priority="1" stopIfTrue="1" operator="lessThan">
      <formula>0</formula>
    </cfRule>
  </conditionalFormatting>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101"/>
  <sheetViews>
    <sheetView workbookViewId="0">
      <selection activeCell="C22" sqref="C22"/>
    </sheetView>
  </sheetViews>
  <sheetFormatPr defaultColWidth="8.875" defaultRowHeight="15.75"/>
  <sheetData>
    <row r="1" spans="1:4">
      <c r="B1" s="13"/>
      <c r="C1" s="13"/>
      <c r="D1" s="13"/>
    </row>
    <row r="2" spans="1:4">
      <c r="A2" t="s">
        <v>44</v>
      </c>
      <c r="B2" s="13"/>
      <c r="C2" s="13"/>
      <c r="D2" s="13"/>
    </row>
    <row r="3" spans="1:4">
      <c r="A3" s="177" t="s">
        <v>120</v>
      </c>
      <c r="B3" s="13" t="s">
        <v>459</v>
      </c>
      <c r="C3" s="13" t="s">
        <v>458</v>
      </c>
      <c r="D3" s="13" t="s">
        <v>255</v>
      </c>
    </row>
    <row r="4" spans="1:4">
      <c r="A4" s="177"/>
      <c r="B4" s="13"/>
      <c r="C4" s="13"/>
      <c r="D4" s="13"/>
    </row>
    <row r="5" spans="1:4">
      <c r="A5" s="177"/>
      <c r="B5" s="13"/>
      <c r="C5" s="13"/>
      <c r="D5" s="13"/>
    </row>
    <row r="6" spans="1:4">
      <c r="A6" s="177"/>
      <c r="B6" s="13"/>
      <c r="C6" s="13"/>
      <c r="D6" s="13"/>
    </row>
    <row r="7" spans="1:4">
      <c r="A7" s="177"/>
      <c r="B7" s="13"/>
      <c r="C7" s="13"/>
      <c r="D7" s="13"/>
    </row>
    <row r="8" spans="1:4">
      <c r="A8" s="177"/>
      <c r="B8" s="13"/>
      <c r="C8" s="13"/>
      <c r="D8" s="13"/>
    </row>
    <row r="9" spans="1:4">
      <c r="A9" s="177"/>
      <c r="B9" s="13"/>
      <c r="C9" s="13"/>
      <c r="D9" s="13"/>
    </row>
    <row r="10" spans="1:4">
      <c r="A10" s="177"/>
      <c r="B10" s="13"/>
      <c r="C10" s="13"/>
      <c r="D10" s="13"/>
    </row>
    <row r="11" spans="1:4">
      <c r="A11" s="177"/>
      <c r="B11" s="13"/>
      <c r="C11" s="13"/>
      <c r="D11" s="13"/>
    </row>
    <row r="12" spans="1:4">
      <c r="A12" s="177"/>
      <c r="B12" s="13"/>
      <c r="C12" s="13"/>
      <c r="D12" s="13"/>
    </row>
    <row r="13" spans="1:4">
      <c r="A13" s="177"/>
      <c r="B13" s="13"/>
      <c r="C13" s="13"/>
      <c r="D13" s="13"/>
    </row>
    <row r="14" spans="1:4">
      <c r="A14" s="177"/>
      <c r="B14" s="13"/>
      <c r="C14" s="13"/>
      <c r="D14" s="13"/>
    </row>
    <row r="15" spans="1:4">
      <c r="A15" s="177"/>
      <c r="B15" s="13"/>
      <c r="C15" s="13"/>
      <c r="D15" s="13"/>
    </row>
    <row r="16" spans="1:4">
      <c r="A16" s="177"/>
      <c r="B16" s="13"/>
      <c r="C16" s="13"/>
      <c r="D16" s="13"/>
    </row>
    <row r="17" spans="1:4">
      <c r="A17" s="177"/>
      <c r="B17" s="13"/>
      <c r="C17" s="13"/>
      <c r="D17" s="13"/>
    </row>
    <row r="18" spans="1:4">
      <c r="A18" s="177"/>
      <c r="B18" s="13"/>
      <c r="C18" s="13"/>
      <c r="D18" s="13"/>
    </row>
    <row r="19" spans="1:4">
      <c r="A19" s="177"/>
      <c r="B19" s="13"/>
      <c r="C19" s="13"/>
      <c r="D19" s="13"/>
    </row>
    <row r="20" spans="1:4">
      <c r="A20" s="177"/>
      <c r="B20" s="13"/>
      <c r="C20" s="13"/>
      <c r="D20" s="13"/>
    </row>
    <row r="21" spans="1:4">
      <c r="A21" s="177"/>
      <c r="B21" s="13"/>
      <c r="C21" s="13"/>
      <c r="D21" s="13"/>
    </row>
    <row r="22" spans="1:4">
      <c r="A22" s="177"/>
      <c r="B22" s="13"/>
      <c r="C22" s="13"/>
      <c r="D22" s="13"/>
    </row>
    <row r="23" spans="1:4">
      <c r="A23" s="177"/>
      <c r="B23" s="13"/>
      <c r="C23" s="13"/>
      <c r="D23" s="13"/>
    </row>
    <row r="24" spans="1:4">
      <c r="A24" s="177"/>
      <c r="B24" s="13"/>
      <c r="C24" s="13"/>
      <c r="D24" s="13"/>
    </row>
    <row r="25" spans="1:4">
      <c r="A25" s="177"/>
      <c r="B25" s="13"/>
      <c r="C25" s="13"/>
      <c r="D25" s="13"/>
    </row>
    <row r="26" spans="1:4">
      <c r="A26" s="177"/>
      <c r="B26" s="13"/>
      <c r="C26" s="13"/>
      <c r="D26" s="13"/>
    </row>
    <row r="27" spans="1:4">
      <c r="A27" s="177"/>
      <c r="B27" s="13"/>
      <c r="C27" s="13"/>
      <c r="D27" s="13"/>
    </row>
    <row r="28" spans="1:4">
      <c r="A28" s="177"/>
      <c r="B28" s="13"/>
      <c r="C28" s="13"/>
      <c r="D28" s="13"/>
    </row>
    <row r="29" spans="1:4">
      <c r="A29" s="177"/>
      <c r="B29" s="13"/>
      <c r="C29" s="13"/>
      <c r="D29" s="13"/>
    </row>
    <row r="30" spans="1:4">
      <c r="A30" s="177"/>
      <c r="B30" s="13"/>
      <c r="C30" s="13"/>
      <c r="D30" s="13"/>
    </row>
    <row r="31" spans="1:4">
      <c r="A31" s="177"/>
      <c r="B31" s="13"/>
      <c r="C31" s="13"/>
      <c r="D31" s="13"/>
    </row>
    <row r="32" spans="1:4">
      <c r="A32" s="177"/>
      <c r="B32" s="13"/>
      <c r="C32" s="13"/>
      <c r="D32" s="13"/>
    </row>
    <row r="33" spans="1:4">
      <c r="A33" s="177"/>
      <c r="B33" s="13"/>
      <c r="C33" s="13"/>
      <c r="D33" s="13"/>
    </row>
    <row r="34" spans="1:4">
      <c r="A34" s="177"/>
      <c r="B34" s="13"/>
      <c r="C34" s="13"/>
      <c r="D34" s="13"/>
    </row>
    <row r="35" spans="1:4">
      <c r="A35" s="177"/>
      <c r="B35" s="13"/>
      <c r="C35" s="13"/>
      <c r="D35" s="13"/>
    </row>
    <row r="36" spans="1:4">
      <c r="A36" s="177"/>
      <c r="B36" s="13"/>
      <c r="C36" s="13"/>
      <c r="D36" s="13"/>
    </row>
    <row r="37" spans="1:4">
      <c r="A37" s="177"/>
      <c r="B37" s="13"/>
      <c r="C37" s="13"/>
      <c r="D37" s="13"/>
    </row>
    <row r="38" spans="1:4">
      <c r="A38" s="177"/>
      <c r="B38" s="13"/>
      <c r="C38" s="13"/>
      <c r="D38" s="13"/>
    </row>
    <row r="39" spans="1:4">
      <c r="A39" s="177"/>
      <c r="B39" s="13"/>
      <c r="C39" s="13"/>
      <c r="D39" s="13"/>
    </row>
    <row r="40" spans="1:4">
      <c r="A40" s="177"/>
      <c r="B40" s="13"/>
      <c r="C40" s="13"/>
      <c r="D40" s="13"/>
    </row>
    <row r="41" spans="1:4">
      <c r="A41" s="177"/>
      <c r="B41" s="13"/>
      <c r="C41" s="13"/>
      <c r="D41" s="13"/>
    </row>
    <row r="42" spans="1:4">
      <c r="A42" s="177"/>
      <c r="B42" s="13"/>
      <c r="C42" s="13"/>
      <c r="D42" s="13"/>
    </row>
    <row r="43" spans="1:4">
      <c r="A43" s="177"/>
      <c r="B43" s="13"/>
      <c r="C43" s="13"/>
      <c r="D43" s="13"/>
    </row>
    <row r="44" spans="1:4">
      <c r="A44" s="177"/>
      <c r="B44" s="13"/>
      <c r="C44" s="13"/>
      <c r="D44" s="13"/>
    </row>
    <row r="45" spans="1:4">
      <c r="A45" s="177"/>
      <c r="B45" s="13"/>
      <c r="C45" s="13"/>
      <c r="D45" s="13"/>
    </row>
    <row r="46" spans="1:4">
      <c r="A46" s="177"/>
      <c r="B46" s="13"/>
      <c r="C46" s="13"/>
      <c r="D46" s="13"/>
    </row>
    <row r="47" spans="1:4">
      <c r="A47" s="177"/>
      <c r="B47" s="13"/>
      <c r="C47" s="13"/>
      <c r="D47" s="13"/>
    </row>
    <row r="48" spans="1:4">
      <c r="A48" s="177"/>
      <c r="B48" s="13"/>
      <c r="C48" s="13"/>
      <c r="D48" s="13"/>
    </row>
    <row r="49" spans="1:4">
      <c r="A49" s="177"/>
      <c r="B49" s="13"/>
      <c r="C49" s="13"/>
      <c r="D49" s="13"/>
    </row>
    <row r="50" spans="1:4">
      <c r="A50" s="177"/>
      <c r="B50" s="13"/>
      <c r="C50" s="13"/>
      <c r="D50" s="13"/>
    </row>
    <row r="51" spans="1:4">
      <c r="A51" s="177"/>
      <c r="B51" s="13"/>
      <c r="C51" s="13"/>
      <c r="D51" s="13"/>
    </row>
    <row r="52" spans="1:4">
      <c r="A52" s="177"/>
      <c r="B52" s="13"/>
      <c r="C52" s="13"/>
      <c r="D52" s="13"/>
    </row>
    <row r="53" spans="1:4">
      <c r="A53" s="177"/>
      <c r="B53" s="13"/>
      <c r="C53" s="13"/>
      <c r="D53" s="13"/>
    </row>
    <row r="54" spans="1:4">
      <c r="A54" s="177"/>
      <c r="B54" s="13"/>
      <c r="C54" s="13"/>
      <c r="D54" s="13"/>
    </row>
    <row r="55" spans="1:4">
      <c r="A55" s="177"/>
      <c r="B55" s="13"/>
      <c r="C55" s="13"/>
      <c r="D55" s="13"/>
    </row>
    <row r="56" spans="1:4">
      <c r="A56" s="177"/>
      <c r="B56" s="13"/>
      <c r="C56" s="13"/>
      <c r="D56" s="13"/>
    </row>
    <row r="57" spans="1:4">
      <c r="A57" s="177"/>
      <c r="B57" s="13"/>
      <c r="C57" s="13"/>
      <c r="D57" s="13"/>
    </row>
    <row r="58" spans="1:4">
      <c r="A58" s="177"/>
      <c r="B58" s="13"/>
      <c r="C58" s="13"/>
      <c r="D58" s="13"/>
    </row>
    <row r="59" spans="1:4">
      <c r="A59" s="177"/>
      <c r="B59" s="13"/>
      <c r="C59" s="13"/>
      <c r="D59" s="13"/>
    </row>
    <row r="60" spans="1:4">
      <c r="A60" s="177"/>
      <c r="B60" s="13"/>
      <c r="C60" s="13"/>
      <c r="D60" s="13"/>
    </row>
    <row r="61" spans="1:4">
      <c r="A61" s="177"/>
      <c r="B61" s="13"/>
      <c r="C61" s="13"/>
      <c r="D61" s="13"/>
    </row>
    <row r="62" spans="1:4">
      <c r="A62" s="177"/>
      <c r="B62" s="13"/>
      <c r="C62" s="13"/>
      <c r="D62" s="13"/>
    </row>
    <row r="63" spans="1:4">
      <c r="A63" s="177"/>
      <c r="B63" s="13"/>
      <c r="C63" s="13"/>
      <c r="D63" s="13"/>
    </row>
    <row r="64" spans="1:4">
      <c r="A64" s="177"/>
      <c r="B64" s="13"/>
      <c r="C64" s="13"/>
      <c r="D64" s="13"/>
    </row>
    <row r="65" spans="1:4">
      <c r="A65" s="177"/>
      <c r="B65" s="13"/>
      <c r="C65" s="13"/>
      <c r="D65" s="13"/>
    </row>
    <row r="66" spans="1:4">
      <c r="A66" s="177"/>
      <c r="B66" s="13"/>
      <c r="C66" s="13"/>
      <c r="D66" s="13"/>
    </row>
    <row r="67" spans="1:4">
      <c r="A67" s="177"/>
      <c r="B67" s="13"/>
      <c r="C67" s="13"/>
      <c r="D67" s="13"/>
    </row>
    <row r="68" spans="1:4">
      <c r="A68" s="177"/>
      <c r="B68" s="13"/>
      <c r="C68" s="13"/>
      <c r="D68" s="13"/>
    </row>
    <row r="69" spans="1:4">
      <c r="A69" s="177"/>
      <c r="B69" s="13"/>
      <c r="C69" s="13"/>
      <c r="D69" s="13"/>
    </row>
    <row r="70" spans="1:4">
      <c r="A70" s="177"/>
      <c r="B70" s="13"/>
      <c r="C70" s="13"/>
      <c r="D70" s="13"/>
    </row>
    <row r="71" spans="1:4">
      <c r="A71" s="177"/>
      <c r="B71" s="13"/>
      <c r="C71" s="13"/>
      <c r="D71" s="13"/>
    </row>
    <row r="72" spans="1:4">
      <c r="A72" s="177"/>
      <c r="B72" s="13"/>
      <c r="C72" s="13"/>
      <c r="D72" s="13"/>
    </row>
    <row r="73" spans="1:4">
      <c r="A73" s="177"/>
      <c r="B73" s="13"/>
      <c r="C73" s="13"/>
      <c r="D73" s="13"/>
    </row>
    <row r="74" spans="1:4">
      <c r="A74" s="177"/>
      <c r="B74" s="13"/>
      <c r="C74" s="13"/>
      <c r="D74" s="13"/>
    </row>
    <row r="75" spans="1:4">
      <c r="A75" s="177"/>
      <c r="B75" s="13"/>
      <c r="C75" s="13"/>
      <c r="D75" s="13"/>
    </row>
    <row r="76" spans="1:4">
      <c r="A76" s="177"/>
      <c r="B76" s="13"/>
      <c r="C76" s="13"/>
      <c r="D76" s="13"/>
    </row>
    <row r="77" spans="1:4">
      <c r="A77" s="177"/>
      <c r="B77" s="13"/>
      <c r="C77" s="13"/>
      <c r="D77" s="13"/>
    </row>
    <row r="78" spans="1:4">
      <c r="A78" s="177"/>
      <c r="B78" s="13"/>
      <c r="C78" s="13"/>
      <c r="D78" s="13"/>
    </row>
    <row r="79" spans="1:4">
      <c r="A79" s="177"/>
      <c r="B79" s="13"/>
      <c r="C79" s="13"/>
      <c r="D79" s="13"/>
    </row>
    <row r="80" spans="1:4">
      <c r="A80" s="177"/>
      <c r="B80" s="13"/>
      <c r="C80" s="13"/>
      <c r="D80" s="13"/>
    </row>
    <row r="81" spans="1:4">
      <c r="A81" s="177"/>
      <c r="B81" s="13"/>
      <c r="C81" s="13"/>
      <c r="D81" s="13"/>
    </row>
    <row r="82" spans="1:4">
      <c r="A82" s="177"/>
      <c r="B82" s="13"/>
      <c r="C82" s="13"/>
      <c r="D82" s="13"/>
    </row>
    <row r="83" spans="1:4">
      <c r="A83" s="177"/>
      <c r="B83" s="13"/>
      <c r="C83" s="13"/>
      <c r="D83" s="13"/>
    </row>
    <row r="84" spans="1:4">
      <c r="A84" s="177"/>
      <c r="B84" s="13"/>
      <c r="C84" s="13"/>
      <c r="D84" s="13"/>
    </row>
    <row r="85" spans="1:4">
      <c r="A85" s="177"/>
      <c r="B85" s="13"/>
      <c r="C85" s="13"/>
      <c r="D85" s="13"/>
    </row>
    <row r="86" spans="1:4">
      <c r="A86" s="177"/>
      <c r="B86" s="13"/>
      <c r="C86" s="13"/>
      <c r="D86" s="13"/>
    </row>
    <row r="87" spans="1:4">
      <c r="A87" s="177"/>
      <c r="B87" s="13"/>
      <c r="C87" s="13"/>
      <c r="D87" s="13"/>
    </row>
    <row r="88" spans="1:4">
      <c r="A88" s="177"/>
      <c r="B88" s="13"/>
      <c r="C88" s="13"/>
      <c r="D88" s="13"/>
    </row>
    <row r="89" spans="1:4">
      <c r="A89" s="177"/>
      <c r="B89" s="13"/>
      <c r="C89" s="13"/>
      <c r="D89" s="13"/>
    </row>
    <row r="90" spans="1:4">
      <c r="A90" s="177"/>
      <c r="B90" s="13"/>
      <c r="C90" s="13"/>
      <c r="D90" s="13"/>
    </row>
    <row r="91" spans="1:4">
      <c r="A91" s="177"/>
      <c r="B91" s="13"/>
      <c r="C91" s="13"/>
      <c r="D91" s="13"/>
    </row>
    <row r="92" spans="1:4">
      <c r="A92" s="177"/>
      <c r="B92" s="13"/>
      <c r="C92" s="13"/>
      <c r="D92" s="13"/>
    </row>
    <row r="93" spans="1:4">
      <c r="A93" s="177"/>
      <c r="B93" s="13"/>
      <c r="C93" s="13"/>
      <c r="D93" s="13"/>
    </row>
    <row r="94" spans="1:4">
      <c r="A94" s="177"/>
      <c r="B94" s="13"/>
      <c r="C94" s="13"/>
      <c r="D94" s="13"/>
    </row>
    <row r="95" spans="1:4">
      <c r="A95" s="177"/>
      <c r="B95" s="13"/>
      <c r="C95" s="13"/>
      <c r="D95" s="13"/>
    </row>
    <row r="96" spans="1:4">
      <c r="A96" s="177"/>
      <c r="B96" s="13"/>
      <c r="C96" s="13"/>
      <c r="D96" s="13"/>
    </row>
    <row r="97" spans="1:4">
      <c r="A97" s="177"/>
      <c r="B97" s="13"/>
      <c r="C97" s="13"/>
      <c r="D97" s="13"/>
    </row>
    <row r="98" spans="1:4">
      <c r="A98" s="177"/>
      <c r="B98" s="13"/>
      <c r="C98" s="13"/>
      <c r="D98" s="13"/>
    </row>
    <row r="99" spans="1:4">
      <c r="A99" s="177"/>
      <c r="B99" s="13"/>
      <c r="C99" s="13"/>
      <c r="D99" s="13"/>
    </row>
    <row r="100" spans="1:4">
      <c r="A100" s="177"/>
      <c r="B100" s="13"/>
      <c r="C100" s="13"/>
      <c r="D100" s="13"/>
    </row>
    <row r="101" spans="1:4">
      <c r="A101" s="177"/>
      <c r="B101" s="13"/>
      <c r="C101" s="13"/>
      <c r="D101" s="13"/>
    </row>
  </sheetData>
  <sortState xmlns:xlrd2="http://schemas.microsoft.com/office/spreadsheetml/2017/richdata2" ref="A4:C58">
    <sortCondition ref="A4"/>
    <sortCondition ref="B4"/>
  </sortState>
  <phoneticPr fontId="8" type="noConversion"/>
  <pageMargins left="0.75" right="0.75" top="1" bottom="1" header="0.5" footer="0.5"/>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25"/>
  <sheetViews>
    <sheetView workbookViewId="0">
      <selection activeCell="C22" sqref="C22"/>
    </sheetView>
  </sheetViews>
  <sheetFormatPr defaultColWidth="8.875" defaultRowHeight="15.75"/>
  <sheetData>
    <row r="1" spans="1:4">
      <c r="B1" s="13"/>
      <c r="C1" s="13"/>
      <c r="D1" s="13"/>
    </row>
    <row r="2" spans="1:4">
      <c r="A2" t="s">
        <v>46</v>
      </c>
      <c r="B2" s="13"/>
      <c r="C2" s="13"/>
      <c r="D2" s="13"/>
    </row>
    <row r="3" spans="1:4">
      <c r="A3" s="177" t="s">
        <v>120</v>
      </c>
      <c r="B3" s="13" t="s">
        <v>459</v>
      </c>
      <c r="C3" s="13" t="s">
        <v>458</v>
      </c>
      <c r="D3" s="13" t="s">
        <v>255</v>
      </c>
    </row>
    <row r="4" spans="1:4">
      <c r="A4" s="177"/>
      <c r="B4" s="13"/>
      <c r="C4" s="13"/>
      <c r="D4" s="13"/>
    </row>
    <row r="5" spans="1:4">
      <c r="A5" s="177"/>
      <c r="B5" s="13"/>
      <c r="C5" s="13"/>
      <c r="D5" s="13"/>
    </row>
    <row r="6" spans="1:4">
      <c r="A6" s="177"/>
      <c r="B6" s="13"/>
      <c r="C6" s="13"/>
      <c r="D6" s="13"/>
    </row>
    <row r="7" spans="1:4">
      <c r="A7" s="177"/>
      <c r="B7" s="13"/>
      <c r="C7" s="13"/>
      <c r="D7" s="13"/>
    </row>
    <row r="8" spans="1:4">
      <c r="A8" s="177"/>
      <c r="B8" s="13"/>
      <c r="C8" s="13"/>
      <c r="D8" s="13"/>
    </row>
    <row r="9" spans="1:4">
      <c r="A9" s="177"/>
      <c r="B9" s="13"/>
      <c r="C9" s="13"/>
      <c r="D9" s="13"/>
    </row>
    <row r="10" spans="1:4">
      <c r="A10" s="177"/>
      <c r="B10" s="13"/>
      <c r="C10" s="13"/>
      <c r="D10" s="13"/>
    </row>
    <row r="11" spans="1:4">
      <c r="A11" s="177"/>
      <c r="B11" s="13"/>
      <c r="C11" s="13"/>
      <c r="D11" s="13"/>
    </row>
    <row r="12" spans="1:4">
      <c r="A12" s="177"/>
      <c r="B12" s="13"/>
      <c r="C12" s="13"/>
      <c r="D12" s="13"/>
    </row>
    <row r="13" spans="1:4">
      <c r="A13" s="177"/>
      <c r="B13" s="13"/>
      <c r="C13" s="13"/>
      <c r="D13" s="13"/>
    </row>
    <row r="14" spans="1:4">
      <c r="A14" s="177"/>
      <c r="B14" s="13"/>
      <c r="C14" s="13"/>
      <c r="D14" s="13"/>
    </row>
    <row r="15" spans="1:4">
      <c r="A15" s="177"/>
      <c r="B15" s="13"/>
      <c r="C15" s="13"/>
      <c r="D15" s="13"/>
    </row>
    <row r="16" spans="1:4">
      <c r="A16" s="177"/>
      <c r="B16" s="13"/>
      <c r="C16" s="13"/>
      <c r="D16" s="13"/>
    </row>
    <row r="17" spans="1:4">
      <c r="A17" s="177"/>
      <c r="B17" s="13"/>
      <c r="C17" s="13"/>
      <c r="D17" s="13"/>
    </row>
    <row r="18" spans="1:4">
      <c r="A18" s="177"/>
      <c r="B18" s="13"/>
      <c r="C18" s="13"/>
      <c r="D18" s="13"/>
    </row>
    <row r="19" spans="1:4">
      <c r="A19" s="177"/>
      <c r="B19" s="13"/>
      <c r="C19" s="13"/>
      <c r="D19" s="13"/>
    </row>
    <row r="20" spans="1:4">
      <c r="A20" s="177"/>
      <c r="B20" s="13"/>
      <c r="C20" s="13"/>
      <c r="D20" s="13"/>
    </row>
    <row r="21" spans="1:4">
      <c r="A21" s="177"/>
      <c r="B21" s="13"/>
      <c r="C21" s="13"/>
      <c r="D21" s="13"/>
    </row>
    <row r="22" spans="1:4">
      <c r="A22" s="177"/>
      <c r="B22" s="13"/>
      <c r="C22" s="13"/>
      <c r="D22" s="13"/>
    </row>
    <row r="23" spans="1:4">
      <c r="A23" s="177"/>
      <c r="B23" s="13"/>
      <c r="C23" s="13"/>
      <c r="D23" s="13"/>
    </row>
    <row r="24" spans="1:4">
      <c r="A24" s="177"/>
      <c r="B24" s="13"/>
      <c r="C24" s="13"/>
      <c r="D24" s="13"/>
    </row>
    <row r="25" spans="1:4">
      <c r="A25" s="177"/>
      <c r="B25" s="13"/>
      <c r="C25" s="13"/>
      <c r="D25" s="13"/>
    </row>
    <row r="26" spans="1:4">
      <c r="A26" s="177"/>
      <c r="B26" s="13"/>
      <c r="C26" s="13"/>
      <c r="D26" s="13"/>
    </row>
    <row r="27" spans="1:4">
      <c r="A27" s="177"/>
      <c r="B27" s="13"/>
      <c r="C27" s="13"/>
      <c r="D27" s="13"/>
    </row>
    <row r="28" spans="1:4">
      <c r="A28" s="177"/>
      <c r="B28" s="13"/>
      <c r="C28" s="13"/>
      <c r="D28" s="13"/>
    </row>
    <row r="29" spans="1:4">
      <c r="A29" s="177"/>
      <c r="B29" s="13"/>
      <c r="C29" s="13"/>
      <c r="D29" s="13"/>
    </row>
    <row r="30" spans="1:4">
      <c r="A30" s="177"/>
      <c r="B30" s="13"/>
      <c r="C30" s="13"/>
      <c r="D30" s="13"/>
    </row>
    <row r="31" spans="1:4">
      <c r="A31" s="177"/>
      <c r="B31" s="13"/>
      <c r="C31" s="13"/>
      <c r="D31" s="13"/>
    </row>
    <row r="32" spans="1:4">
      <c r="A32" s="177"/>
      <c r="B32" s="13"/>
      <c r="C32" s="13"/>
      <c r="D32" s="13"/>
    </row>
    <row r="33" spans="1:4">
      <c r="A33" s="177"/>
      <c r="B33" s="13"/>
      <c r="C33" s="13"/>
      <c r="D33" s="13"/>
    </row>
    <row r="34" spans="1:4">
      <c r="A34" s="177"/>
      <c r="B34" s="13"/>
      <c r="C34" s="13"/>
      <c r="D34" s="13"/>
    </row>
    <row r="35" spans="1:4">
      <c r="A35" s="177"/>
      <c r="B35" s="13"/>
      <c r="C35" s="13"/>
      <c r="D35" s="13"/>
    </row>
    <row r="36" spans="1:4">
      <c r="A36" s="177"/>
      <c r="B36" s="13"/>
      <c r="C36" s="13"/>
      <c r="D36" s="13"/>
    </row>
    <row r="37" spans="1:4">
      <c r="A37" s="177"/>
      <c r="B37" s="13"/>
      <c r="C37" s="13"/>
      <c r="D37" s="13"/>
    </row>
    <row r="38" spans="1:4">
      <c r="A38" s="177"/>
      <c r="B38" s="13"/>
      <c r="C38" s="13"/>
      <c r="D38" s="13"/>
    </row>
    <row r="39" spans="1:4">
      <c r="A39" s="177"/>
      <c r="B39" s="13"/>
      <c r="C39" s="13"/>
      <c r="D39" s="13"/>
    </row>
    <row r="40" spans="1:4">
      <c r="A40" s="177"/>
      <c r="B40" s="13"/>
      <c r="C40" s="13"/>
      <c r="D40" s="13"/>
    </row>
    <row r="41" spans="1:4">
      <c r="A41" s="177"/>
      <c r="B41" s="13"/>
      <c r="C41" s="13"/>
      <c r="D41" s="13"/>
    </row>
    <row r="42" spans="1:4">
      <c r="A42" s="177"/>
      <c r="B42" s="13"/>
      <c r="C42" s="13"/>
      <c r="D42" s="13"/>
    </row>
    <row r="43" spans="1:4">
      <c r="A43" s="177"/>
      <c r="B43" s="13"/>
      <c r="C43" s="13"/>
      <c r="D43" s="13"/>
    </row>
    <row r="44" spans="1:4">
      <c r="A44" s="177"/>
      <c r="B44" s="13"/>
      <c r="C44" s="13"/>
      <c r="D44" s="13"/>
    </row>
    <row r="45" spans="1:4">
      <c r="A45" s="177"/>
      <c r="B45" s="13"/>
      <c r="C45" s="13"/>
      <c r="D45" s="13"/>
    </row>
    <row r="46" spans="1:4">
      <c r="A46" s="177"/>
      <c r="B46" s="13"/>
      <c r="C46" s="13"/>
      <c r="D46" s="13"/>
    </row>
    <row r="47" spans="1:4">
      <c r="A47" s="177"/>
      <c r="B47" s="13"/>
      <c r="C47" s="13"/>
      <c r="D47" s="13"/>
    </row>
    <row r="48" spans="1:4">
      <c r="A48" s="177"/>
      <c r="B48" s="13"/>
      <c r="C48" s="13"/>
      <c r="D48" s="13"/>
    </row>
    <row r="49" spans="1:4">
      <c r="A49" s="177"/>
      <c r="B49" s="13"/>
      <c r="C49" s="13"/>
      <c r="D49" s="13"/>
    </row>
    <row r="50" spans="1:4">
      <c r="A50" s="177"/>
      <c r="B50" s="13"/>
      <c r="C50" s="13"/>
      <c r="D50" s="13"/>
    </row>
    <row r="51" spans="1:4">
      <c r="A51" s="177"/>
      <c r="B51" s="13"/>
      <c r="C51" s="13"/>
      <c r="D51" s="13"/>
    </row>
    <row r="52" spans="1:4">
      <c r="A52" s="177"/>
      <c r="B52" s="13"/>
      <c r="C52" s="13"/>
      <c r="D52" s="13"/>
    </row>
    <row r="53" spans="1:4">
      <c r="A53" s="177"/>
      <c r="B53" s="13"/>
      <c r="C53" s="13"/>
      <c r="D53" s="13"/>
    </row>
    <row r="54" spans="1:4">
      <c r="A54" s="177"/>
      <c r="B54" s="13"/>
      <c r="C54" s="13"/>
      <c r="D54" s="13"/>
    </row>
    <row r="55" spans="1:4">
      <c r="A55" s="177"/>
      <c r="B55" s="13"/>
      <c r="C55" s="13"/>
      <c r="D55" s="13"/>
    </row>
    <row r="56" spans="1:4">
      <c r="A56" s="177"/>
      <c r="B56" s="13"/>
      <c r="C56" s="13"/>
      <c r="D56" s="13"/>
    </row>
    <row r="57" spans="1:4">
      <c r="A57" s="177"/>
      <c r="B57" s="13"/>
      <c r="C57" s="13"/>
      <c r="D57" s="13"/>
    </row>
    <row r="58" spans="1:4">
      <c r="A58" s="177"/>
      <c r="B58" s="13"/>
      <c r="C58" s="13"/>
      <c r="D58" s="13"/>
    </row>
    <row r="59" spans="1:4">
      <c r="A59" s="177"/>
      <c r="B59" s="13"/>
      <c r="C59" s="13"/>
      <c r="D59" s="13"/>
    </row>
    <row r="60" spans="1:4">
      <c r="A60" s="177"/>
      <c r="B60" s="13"/>
      <c r="C60" s="13"/>
      <c r="D60" s="13"/>
    </row>
    <row r="61" spans="1:4">
      <c r="A61" s="177"/>
      <c r="B61" s="13"/>
      <c r="C61" s="13"/>
      <c r="D61" s="13"/>
    </row>
    <row r="62" spans="1:4">
      <c r="A62" s="177"/>
      <c r="B62" s="13"/>
      <c r="C62" s="13"/>
      <c r="D62" s="13"/>
    </row>
    <row r="63" spans="1:4">
      <c r="A63" s="177"/>
      <c r="B63" s="13"/>
      <c r="C63" s="13"/>
      <c r="D63" s="13"/>
    </row>
    <row r="64" spans="1:4">
      <c r="A64" s="177"/>
      <c r="B64" s="13"/>
      <c r="C64" s="13"/>
      <c r="D64" s="13"/>
    </row>
    <row r="65" spans="1:4">
      <c r="A65" s="177"/>
      <c r="B65" s="13"/>
      <c r="C65" s="13"/>
      <c r="D65" s="13"/>
    </row>
    <row r="66" spans="1:4">
      <c r="A66" s="177"/>
      <c r="B66" s="13"/>
      <c r="C66" s="13"/>
      <c r="D66" s="13"/>
    </row>
    <row r="67" spans="1:4">
      <c r="A67" s="177"/>
      <c r="B67" s="13"/>
      <c r="C67" s="13"/>
      <c r="D67" s="13"/>
    </row>
    <row r="68" spans="1:4">
      <c r="A68" s="177"/>
      <c r="B68" s="13"/>
      <c r="C68" s="13"/>
      <c r="D68" s="13"/>
    </row>
    <row r="69" spans="1:4">
      <c r="A69" s="177"/>
      <c r="B69" s="13"/>
      <c r="C69" s="13"/>
      <c r="D69" s="13"/>
    </row>
    <row r="70" spans="1:4">
      <c r="A70" s="177"/>
      <c r="B70" s="13"/>
      <c r="C70" s="13"/>
      <c r="D70" s="13"/>
    </row>
    <row r="71" spans="1:4">
      <c r="A71" s="177"/>
      <c r="B71" s="13"/>
      <c r="C71" s="13"/>
      <c r="D71" s="13"/>
    </row>
    <row r="72" spans="1:4">
      <c r="A72" s="177"/>
      <c r="B72" s="13"/>
      <c r="C72" s="13"/>
      <c r="D72" s="13"/>
    </row>
    <row r="73" spans="1:4">
      <c r="A73" s="177"/>
      <c r="B73" s="13"/>
      <c r="C73" s="13"/>
      <c r="D73" s="13"/>
    </row>
    <row r="74" spans="1:4">
      <c r="A74" s="177"/>
      <c r="B74" s="13"/>
      <c r="C74" s="13"/>
      <c r="D74" s="13"/>
    </row>
    <row r="75" spans="1:4">
      <c r="A75" s="177"/>
      <c r="B75" s="13"/>
      <c r="C75" s="13"/>
      <c r="D75" s="13"/>
    </row>
    <row r="76" spans="1:4">
      <c r="A76" s="177"/>
      <c r="B76" s="13"/>
      <c r="C76" s="13"/>
      <c r="D76" s="13"/>
    </row>
    <row r="77" spans="1:4">
      <c r="A77" s="177"/>
      <c r="B77" s="13"/>
      <c r="C77" s="13"/>
      <c r="D77" s="13"/>
    </row>
    <row r="78" spans="1:4">
      <c r="A78" s="177"/>
      <c r="B78" s="13"/>
      <c r="C78" s="13"/>
      <c r="D78" s="13"/>
    </row>
    <row r="79" spans="1:4">
      <c r="A79" s="177"/>
      <c r="B79" s="13"/>
      <c r="C79" s="13"/>
      <c r="D79" s="13"/>
    </row>
    <row r="80" spans="1:4">
      <c r="A80" s="177"/>
      <c r="B80" s="13"/>
      <c r="C80" s="13"/>
      <c r="D80" s="13"/>
    </row>
    <row r="81" spans="1:4">
      <c r="A81" s="177"/>
      <c r="B81" s="13"/>
      <c r="C81" s="13"/>
      <c r="D81" s="13"/>
    </row>
    <row r="82" spans="1:4">
      <c r="A82" s="177"/>
      <c r="B82" s="13"/>
      <c r="C82" s="13"/>
      <c r="D82" s="13"/>
    </row>
    <row r="83" spans="1:4">
      <c r="A83" s="177"/>
      <c r="B83" s="13"/>
      <c r="C83" s="13"/>
      <c r="D83" s="13"/>
    </row>
    <row r="84" spans="1:4">
      <c r="A84" s="177"/>
      <c r="B84" s="13"/>
      <c r="C84" s="13"/>
      <c r="D84" s="13"/>
    </row>
    <row r="85" spans="1:4">
      <c r="A85" s="177"/>
      <c r="B85" s="13"/>
      <c r="C85" s="13"/>
      <c r="D85" s="13"/>
    </row>
    <row r="86" spans="1:4">
      <c r="A86" s="177"/>
      <c r="B86" s="13"/>
      <c r="C86" s="13"/>
      <c r="D86" s="13"/>
    </row>
    <row r="87" spans="1:4">
      <c r="A87" s="177"/>
      <c r="B87" s="13"/>
      <c r="C87" s="13"/>
      <c r="D87" s="13"/>
    </row>
    <row r="88" spans="1:4">
      <c r="A88" s="177"/>
      <c r="B88" s="13"/>
      <c r="C88" s="13"/>
      <c r="D88" s="13"/>
    </row>
    <row r="89" spans="1:4">
      <c r="A89" s="177"/>
      <c r="B89" s="13"/>
      <c r="C89" s="13"/>
      <c r="D89" s="13"/>
    </row>
    <row r="90" spans="1:4">
      <c r="A90" s="177"/>
      <c r="B90" s="13"/>
      <c r="C90" s="13"/>
      <c r="D90" s="13"/>
    </row>
    <row r="91" spans="1:4">
      <c r="A91" s="177"/>
      <c r="B91" s="13"/>
      <c r="C91" s="13"/>
      <c r="D91" s="13"/>
    </row>
    <row r="92" spans="1:4">
      <c r="A92" s="177"/>
      <c r="B92" s="13"/>
      <c r="C92" s="13"/>
      <c r="D92" s="13"/>
    </row>
    <row r="93" spans="1:4">
      <c r="A93" s="177"/>
      <c r="B93" s="13"/>
      <c r="C93" s="13"/>
      <c r="D93" s="13"/>
    </row>
    <row r="94" spans="1:4">
      <c r="A94" s="177"/>
      <c r="B94" s="13"/>
      <c r="C94" s="13"/>
      <c r="D94" s="13"/>
    </row>
    <row r="95" spans="1:4">
      <c r="A95" s="177"/>
      <c r="B95" s="13"/>
      <c r="C95" s="13"/>
      <c r="D95" s="13"/>
    </row>
    <row r="96" spans="1:4">
      <c r="A96" s="177"/>
      <c r="B96" s="13"/>
      <c r="C96" s="13"/>
      <c r="D96" s="13"/>
    </row>
    <row r="97" spans="1:4">
      <c r="A97" s="177"/>
      <c r="B97" s="13"/>
      <c r="C97" s="13"/>
      <c r="D97" s="13"/>
    </row>
    <row r="98" spans="1:4">
      <c r="A98" s="177"/>
      <c r="B98" s="13"/>
      <c r="C98" s="13"/>
      <c r="D98" s="13"/>
    </row>
    <row r="99" spans="1:4">
      <c r="A99" s="177"/>
      <c r="B99" s="13"/>
      <c r="C99" s="13"/>
      <c r="D99" s="13"/>
    </row>
    <row r="100" spans="1:4">
      <c r="A100" s="177"/>
      <c r="B100" s="13"/>
      <c r="C100" s="13"/>
      <c r="D100" s="13"/>
    </row>
    <row r="101" spans="1:4">
      <c r="A101" s="177"/>
      <c r="B101" s="13"/>
      <c r="C101" s="13"/>
      <c r="D101" s="13"/>
    </row>
    <row r="102" spans="1:4">
      <c r="A102" s="177"/>
      <c r="B102" s="13"/>
      <c r="C102" s="13"/>
      <c r="D102" s="13"/>
    </row>
    <row r="103" spans="1:4">
      <c r="A103" s="177"/>
      <c r="B103" s="13"/>
      <c r="C103" s="13"/>
      <c r="D103" s="13"/>
    </row>
    <row r="104" spans="1:4">
      <c r="A104" s="177"/>
      <c r="B104" s="13"/>
      <c r="C104" s="13"/>
      <c r="D104" s="13"/>
    </row>
    <row r="105" spans="1:4">
      <c r="A105" s="177"/>
      <c r="B105" s="13"/>
      <c r="C105" s="13"/>
      <c r="D105" s="13"/>
    </row>
    <row r="106" spans="1:4">
      <c r="A106" s="177"/>
      <c r="B106" s="13"/>
      <c r="C106" s="13"/>
      <c r="D106" s="13"/>
    </row>
    <row r="107" spans="1:4">
      <c r="A107" s="177"/>
      <c r="B107" s="13"/>
      <c r="C107" s="13"/>
      <c r="D107" s="13"/>
    </row>
    <row r="108" spans="1:4">
      <c r="A108" s="177"/>
      <c r="B108" s="13"/>
      <c r="C108" s="13"/>
      <c r="D108" s="13"/>
    </row>
    <row r="109" spans="1:4">
      <c r="A109" s="177"/>
      <c r="B109" s="13"/>
      <c r="C109" s="13"/>
      <c r="D109" s="13"/>
    </row>
    <row r="110" spans="1:4">
      <c r="A110" s="177"/>
      <c r="B110" s="13"/>
      <c r="C110" s="13"/>
      <c r="D110" s="13"/>
    </row>
    <row r="111" spans="1:4">
      <c r="A111" s="177"/>
      <c r="B111" s="13"/>
      <c r="C111" s="13"/>
      <c r="D111" s="13"/>
    </row>
    <row r="112" spans="1:4">
      <c r="A112" s="177"/>
      <c r="B112" s="13"/>
      <c r="C112" s="13"/>
      <c r="D112" s="13"/>
    </row>
    <row r="113" spans="1:4">
      <c r="A113" s="177"/>
      <c r="B113" s="13"/>
      <c r="C113" s="13"/>
      <c r="D113" s="13"/>
    </row>
    <row r="114" spans="1:4">
      <c r="A114" s="177"/>
      <c r="B114" s="13"/>
      <c r="C114" s="13"/>
      <c r="D114" s="13"/>
    </row>
    <row r="115" spans="1:4">
      <c r="A115" s="177"/>
      <c r="B115" s="13"/>
      <c r="C115" s="13"/>
      <c r="D115" s="13"/>
    </row>
    <row r="116" spans="1:4">
      <c r="A116" s="177"/>
      <c r="B116" s="13"/>
      <c r="C116" s="13"/>
      <c r="D116" s="13"/>
    </row>
    <row r="117" spans="1:4">
      <c r="A117" s="177"/>
      <c r="B117" s="13"/>
      <c r="C117" s="13"/>
      <c r="D117" s="13"/>
    </row>
    <row r="118" spans="1:4">
      <c r="A118" s="177"/>
      <c r="B118" s="13"/>
      <c r="C118" s="13"/>
      <c r="D118" s="13"/>
    </row>
    <row r="119" spans="1:4">
      <c r="A119" s="177"/>
      <c r="B119" s="13"/>
      <c r="C119" s="13"/>
      <c r="D119" s="13"/>
    </row>
    <row r="120" spans="1:4">
      <c r="A120" s="177"/>
      <c r="B120" s="13"/>
      <c r="C120" s="13"/>
      <c r="D120" s="13"/>
    </row>
    <row r="121" spans="1:4">
      <c r="A121" s="177"/>
      <c r="B121" s="13"/>
      <c r="C121" s="13"/>
      <c r="D121" s="13"/>
    </row>
    <row r="122" spans="1:4">
      <c r="A122" s="177"/>
      <c r="B122" s="13"/>
      <c r="C122" s="13"/>
      <c r="D122" s="13"/>
    </row>
    <row r="123" spans="1:4">
      <c r="A123" s="177"/>
      <c r="B123" s="13"/>
      <c r="C123" s="13"/>
      <c r="D123" s="13"/>
    </row>
    <row r="124" spans="1:4">
      <c r="A124" s="177"/>
      <c r="B124" s="13"/>
      <c r="C124" s="13"/>
      <c r="D124" s="13"/>
    </row>
    <row r="125" spans="1:4">
      <c r="A125" s="177"/>
      <c r="B125" s="13"/>
      <c r="C125" s="13"/>
      <c r="D125" s="13"/>
    </row>
    <row r="126" spans="1:4">
      <c r="A126" s="177"/>
      <c r="B126" s="13"/>
      <c r="C126" s="13"/>
      <c r="D126" s="13"/>
    </row>
    <row r="127" spans="1:4">
      <c r="A127" s="177"/>
      <c r="B127" s="13"/>
      <c r="C127" s="13"/>
      <c r="D127" s="13"/>
    </row>
    <row r="128" spans="1:4">
      <c r="A128" s="177"/>
      <c r="B128" s="13"/>
      <c r="C128" s="13"/>
      <c r="D128" s="13"/>
    </row>
    <row r="129" spans="1:4">
      <c r="A129" s="177"/>
      <c r="B129" s="13"/>
      <c r="C129" s="13"/>
      <c r="D129" s="13"/>
    </row>
    <row r="130" spans="1:4">
      <c r="A130" s="177"/>
      <c r="B130" s="13"/>
      <c r="C130" s="13"/>
      <c r="D130" s="13"/>
    </row>
    <row r="131" spans="1:4">
      <c r="A131" s="177"/>
      <c r="B131" s="13"/>
      <c r="C131" s="13"/>
      <c r="D131" s="13"/>
    </row>
    <row r="132" spans="1:4">
      <c r="A132" s="177"/>
      <c r="B132" s="13"/>
      <c r="C132" s="13"/>
      <c r="D132" s="13"/>
    </row>
    <row r="133" spans="1:4">
      <c r="A133" s="177"/>
      <c r="B133" s="13"/>
      <c r="C133" s="13"/>
      <c r="D133" s="13"/>
    </row>
    <row r="134" spans="1:4">
      <c r="A134" s="177"/>
      <c r="B134" s="13"/>
      <c r="C134" s="13"/>
      <c r="D134" s="13"/>
    </row>
    <row r="135" spans="1:4">
      <c r="A135" s="177"/>
      <c r="B135" s="13"/>
      <c r="C135" s="13"/>
      <c r="D135" s="13"/>
    </row>
    <row r="136" spans="1:4">
      <c r="A136" s="177"/>
      <c r="B136" s="13"/>
      <c r="C136" s="13"/>
      <c r="D136" s="13"/>
    </row>
    <row r="137" spans="1:4">
      <c r="A137" s="177"/>
      <c r="B137" s="13"/>
      <c r="C137" s="13"/>
      <c r="D137" s="13"/>
    </row>
    <row r="138" spans="1:4">
      <c r="A138" s="177"/>
      <c r="B138" s="13"/>
      <c r="C138" s="13"/>
      <c r="D138" s="13"/>
    </row>
    <row r="139" spans="1:4">
      <c r="A139" s="177"/>
      <c r="B139" s="13"/>
      <c r="C139" s="13"/>
      <c r="D139" s="13"/>
    </row>
    <row r="140" spans="1:4">
      <c r="A140" s="177"/>
      <c r="B140" s="13"/>
      <c r="C140" s="13"/>
      <c r="D140" s="13"/>
    </row>
    <row r="141" spans="1:4">
      <c r="A141" s="177"/>
      <c r="B141" s="13"/>
      <c r="C141" s="13"/>
      <c r="D141" s="13"/>
    </row>
    <row r="142" spans="1:4">
      <c r="B142" s="13"/>
      <c r="C142" s="13"/>
      <c r="D142" s="13"/>
    </row>
    <row r="143" spans="1:4">
      <c r="B143" s="13"/>
      <c r="C143" s="13"/>
      <c r="D143" s="13"/>
    </row>
    <row r="144" spans="1:4">
      <c r="B144" s="13"/>
      <c r="C144" s="13"/>
      <c r="D144" s="13"/>
    </row>
    <row r="145" spans="2:4">
      <c r="B145" s="13"/>
      <c r="C145" s="13"/>
      <c r="D145" s="13"/>
    </row>
    <row r="146" spans="2:4">
      <c r="B146" s="13"/>
      <c r="C146" s="13"/>
      <c r="D146" s="13"/>
    </row>
    <row r="147" spans="2:4">
      <c r="B147" s="13"/>
      <c r="C147" s="13"/>
      <c r="D147" s="13"/>
    </row>
    <row r="148" spans="2:4">
      <c r="B148" s="13"/>
      <c r="C148" s="13"/>
      <c r="D148" s="13"/>
    </row>
    <row r="149" spans="2:4">
      <c r="B149" s="13"/>
      <c r="C149" s="13"/>
      <c r="D149" s="13"/>
    </row>
    <row r="150" spans="2:4">
      <c r="B150" s="13"/>
      <c r="C150" s="13"/>
      <c r="D150" s="13"/>
    </row>
    <row r="151" spans="2:4">
      <c r="B151" s="13"/>
      <c r="C151" s="13"/>
      <c r="D151" s="13"/>
    </row>
    <row r="152" spans="2:4">
      <c r="B152" s="13"/>
      <c r="C152" s="13"/>
      <c r="D152" s="13"/>
    </row>
    <row r="153" spans="2:4">
      <c r="B153" s="13"/>
      <c r="C153" s="13"/>
      <c r="D153" s="13"/>
    </row>
    <row r="154" spans="2:4">
      <c r="B154" s="13"/>
      <c r="C154" s="13"/>
      <c r="D154" s="13"/>
    </row>
    <row r="155" spans="2:4">
      <c r="B155" s="13"/>
      <c r="C155" s="13"/>
      <c r="D155" s="13"/>
    </row>
    <row r="156" spans="2:4">
      <c r="B156" s="13"/>
      <c r="C156" s="13"/>
      <c r="D156" s="13"/>
    </row>
    <row r="157" spans="2:4">
      <c r="B157" s="13"/>
      <c r="C157" s="13"/>
      <c r="D157" s="13"/>
    </row>
    <row r="158" spans="2:4">
      <c r="B158" s="13"/>
      <c r="C158" s="13"/>
      <c r="D158" s="13"/>
    </row>
    <row r="159" spans="2:4">
      <c r="B159" s="13"/>
      <c r="C159" s="13"/>
      <c r="D159" s="13"/>
    </row>
    <row r="160" spans="2:4">
      <c r="B160" s="13"/>
      <c r="C160" s="13"/>
      <c r="D160" s="13"/>
    </row>
    <row r="161" spans="2:4">
      <c r="B161" s="13"/>
      <c r="C161" s="13"/>
      <c r="D161" s="13"/>
    </row>
    <row r="162" spans="2:4">
      <c r="B162" s="13"/>
      <c r="C162" s="13"/>
      <c r="D162" s="13"/>
    </row>
    <row r="163" spans="2:4">
      <c r="B163" s="13"/>
      <c r="C163" s="13"/>
      <c r="D163" s="13"/>
    </row>
    <row r="164" spans="2:4">
      <c r="B164" s="13"/>
      <c r="C164" s="13"/>
      <c r="D164" s="13"/>
    </row>
    <row r="165" spans="2:4">
      <c r="B165" s="13"/>
      <c r="C165" s="13"/>
      <c r="D165" s="13"/>
    </row>
    <row r="166" spans="2:4">
      <c r="B166" s="13"/>
      <c r="C166" s="13"/>
      <c r="D166" s="13"/>
    </row>
    <row r="167" spans="2:4">
      <c r="B167" s="13"/>
      <c r="C167" s="13"/>
      <c r="D167" s="13"/>
    </row>
    <row r="168" spans="2:4">
      <c r="B168" s="13"/>
      <c r="C168" s="13"/>
      <c r="D168" s="13"/>
    </row>
    <row r="169" spans="2:4">
      <c r="B169" s="13"/>
      <c r="C169" s="13"/>
      <c r="D169" s="13"/>
    </row>
    <row r="170" spans="2:4">
      <c r="B170" s="13"/>
      <c r="C170" s="13"/>
      <c r="D170" s="13"/>
    </row>
    <row r="171" spans="2:4">
      <c r="B171" s="13"/>
      <c r="C171" s="13"/>
      <c r="D171" s="13"/>
    </row>
    <row r="172" spans="2:4">
      <c r="B172" s="13"/>
      <c r="C172" s="13"/>
      <c r="D172" s="13"/>
    </row>
    <row r="173" spans="2:4">
      <c r="B173" s="13"/>
      <c r="C173" s="13"/>
      <c r="D173" s="13"/>
    </row>
    <row r="174" spans="2:4">
      <c r="B174" s="13"/>
      <c r="C174" s="13"/>
      <c r="D174" s="13"/>
    </row>
    <row r="175" spans="2:4">
      <c r="B175" s="13"/>
      <c r="C175" s="13"/>
      <c r="D175" s="13"/>
    </row>
    <row r="176" spans="2:4">
      <c r="B176" s="13"/>
      <c r="C176" s="13"/>
      <c r="D176" s="13"/>
    </row>
    <row r="177" spans="2:4">
      <c r="B177" s="13"/>
      <c r="C177" s="13"/>
      <c r="D177" s="13"/>
    </row>
    <row r="178" spans="2:4">
      <c r="B178" s="13"/>
      <c r="C178" s="13"/>
      <c r="D178" s="13"/>
    </row>
    <row r="179" spans="2:4">
      <c r="B179" s="13"/>
      <c r="C179" s="13"/>
      <c r="D179" s="13"/>
    </row>
    <row r="180" spans="2:4">
      <c r="B180" s="13"/>
      <c r="C180" s="13"/>
      <c r="D180" s="13"/>
    </row>
    <row r="181" spans="2:4">
      <c r="B181" s="13"/>
      <c r="C181" s="13"/>
      <c r="D181" s="13"/>
    </row>
    <row r="182" spans="2:4">
      <c r="B182" s="13"/>
      <c r="C182" s="13"/>
      <c r="D182" s="13"/>
    </row>
    <row r="183" spans="2:4">
      <c r="B183" s="13"/>
      <c r="C183" s="13"/>
      <c r="D183" s="13"/>
    </row>
    <row r="184" spans="2:4">
      <c r="B184" s="13"/>
      <c r="C184" s="13"/>
      <c r="D184" s="13"/>
    </row>
    <row r="185" spans="2:4">
      <c r="B185" s="13"/>
      <c r="C185" s="13"/>
      <c r="D185" s="13"/>
    </row>
    <row r="186" spans="2:4">
      <c r="B186" s="13"/>
      <c r="C186" s="13"/>
      <c r="D186" s="13"/>
    </row>
    <row r="187" spans="2:4">
      <c r="B187" s="13"/>
      <c r="C187" s="13"/>
      <c r="D187" s="13"/>
    </row>
    <row r="188" spans="2:4">
      <c r="B188" s="13"/>
      <c r="C188" s="13"/>
      <c r="D188" s="13"/>
    </row>
    <row r="189" spans="2:4">
      <c r="B189" s="13"/>
      <c r="C189" s="13"/>
      <c r="D189" s="13"/>
    </row>
    <row r="190" spans="2:4">
      <c r="B190" s="13"/>
      <c r="C190" s="13"/>
      <c r="D190" s="13"/>
    </row>
    <row r="191" spans="2:4">
      <c r="B191" s="13"/>
      <c r="C191" s="13"/>
      <c r="D191" s="13"/>
    </row>
    <row r="192" spans="2:4">
      <c r="B192" s="13"/>
      <c r="C192" s="13"/>
      <c r="D192" s="13"/>
    </row>
    <row r="193" spans="2:4">
      <c r="B193" s="13"/>
      <c r="C193" s="13"/>
      <c r="D193" s="13"/>
    </row>
    <row r="194" spans="2:4">
      <c r="B194" s="13"/>
      <c r="C194" s="13"/>
      <c r="D194" s="13"/>
    </row>
    <row r="195" spans="2:4">
      <c r="B195" s="13"/>
      <c r="C195" s="13"/>
      <c r="D195" s="13"/>
    </row>
    <row r="196" spans="2:4">
      <c r="B196" s="13"/>
      <c r="C196" s="13"/>
      <c r="D196" s="13"/>
    </row>
    <row r="197" spans="2:4">
      <c r="B197" s="13"/>
      <c r="C197" s="13"/>
      <c r="D197" s="13"/>
    </row>
    <row r="198" spans="2:4">
      <c r="B198" s="13"/>
      <c r="C198" s="13"/>
      <c r="D198" s="13"/>
    </row>
    <row r="199" spans="2:4">
      <c r="B199" s="13"/>
      <c r="C199" s="13"/>
      <c r="D199" s="13"/>
    </row>
    <row r="200" spans="2:4">
      <c r="B200" s="13"/>
      <c r="C200" s="13"/>
      <c r="D200" s="13"/>
    </row>
    <row r="201" spans="2:4">
      <c r="B201" s="13"/>
      <c r="C201" s="13"/>
      <c r="D201" s="13"/>
    </row>
    <row r="202" spans="2:4">
      <c r="B202" s="13"/>
      <c r="C202" s="13"/>
      <c r="D202" s="13"/>
    </row>
    <row r="203" spans="2:4">
      <c r="B203" s="13"/>
      <c r="C203" s="13"/>
      <c r="D203" s="13"/>
    </row>
    <row r="204" spans="2:4">
      <c r="B204" s="13"/>
      <c r="C204" s="13"/>
      <c r="D204" s="13"/>
    </row>
    <row r="205" spans="2:4">
      <c r="B205" s="13"/>
      <c r="C205" s="13"/>
      <c r="D205" s="13"/>
    </row>
    <row r="206" spans="2:4">
      <c r="B206" s="13"/>
      <c r="C206" s="13"/>
      <c r="D206" s="13"/>
    </row>
    <row r="207" spans="2:4">
      <c r="B207" s="13"/>
      <c r="C207" s="13"/>
      <c r="D207" s="13"/>
    </row>
    <row r="208" spans="2:4">
      <c r="B208" s="13"/>
      <c r="C208" s="13"/>
      <c r="D208" s="13"/>
    </row>
    <row r="209" spans="2:4">
      <c r="B209" s="13"/>
      <c r="C209" s="13"/>
      <c r="D209" s="13"/>
    </row>
    <row r="210" spans="2:4">
      <c r="B210" s="13"/>
      <c r="C210" s="13"/>
      <c r="D210" s="13"/>
    </row>
    <row r="211" spans="2:4">
      <c r="B211" s="13"/>
      <c r="C211" s="13"/>
      <c r="D211" s="13"/>
    </row>
    <row r="212" spans="2:4">
      <c r="B212" s="13"/>
      <c r="C212" s="13"/>
      <c r="D212" s="13"/>
    </row>
    <row r="213" spans="2:4">
      <c r="B213" s="13"/>
      <c r="C213" s="13"/>
      <c r="D213" s="13"/>
    </row>
    <row r="214" spans="2:4">
      <c r="B214" s="13"/>
      <c r="C214" s="13"/>
      <c r="D214" s="13"/>
    </row>
    <row r="215" spans="2:4">
      <c r="B215" s="13"/>
      <c r="C215" s="13"/>
      <c r="D215" s="13"/>
    </row>
    <row r="216" spans="2:4">
      <c r="B216" s="13"/>
      <c r="C216" s="13"/>
      <c r="D216" s="13"/>
    </row>
    <row r="217" spans="2:4">
      <c r="B217" s="13"/>
      <c r="C217" s="13"/>
      <c r="D217" s="13"/>
    </row>
    <row r="218" spans="2:4">
      <c r="B218" s="13"/>
      <c r="C218" s="13"/>
      <c r="D218" s="13"/>
    </row>
    <row r="219" spans="2:4">
      <c r="B219" s="13"/>
      <c r="C219" s="13"/>
      <c r="D219" s="13"/>
    </row>
    <row r="220" spans="2:4">
      <c r="B220" s="13"/>
      <c r="C220" s="13"/>
      <c r="D220" s="13"/>
    </row>
    <row r="221" spans="2:4">
      <c r="B221" s="13"/>
      <c r="C221" s="13"/>
      <c r="D221" s="13"/>
    </row>
    <row r="222" spans="2:4">
      <c r="B222" s="13"/>
      <c r="C222" s="13"/>
      <c r="D222" s="13"/>
    </row>
    <row r="223" spans="2:4">
      <c r="B223" s="13"/>
      <c r="C223" s="13"/>
      <c r="D223" s="13"/>
    </row>
    <row r="224" spans="2:4">
      <c r="B224" s="13"/>
      <c r="C224" s="13"/>
      <c r="D224" s="13"/>
    </row>
    <row r="225" spans="2:4">
      <c r="B225" s="13"/>
      <c r="C225" s="13"/>
      <c r="D225" s="13"/>
    </row>
  </sheetData>
  <sortState xmlns:xlrd2="http://schemas.microsoft.com/office/spreadsheetml/2017/richdata2" ref="A4:C66">
    <sortCondition ref="A4"/>
    <sortCondition ref="B4"/>
  </sortState>
  <phoneticPr fontId="8" type="noConversion"/>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22"/>
  <sheetViews>
    <sheetView workbookViewId="0">
      <selection activeCell="C22" sqref="C22"/>
    </sheetView>
  </sheetViews>
  <sheetFormatPr defaultColWidth="8.875" defaultRowHeight="15.75"/>
  <cols>
    <col min="1" max="1" width="10.875" style="14" customWidth="1"/>
    <col min="2" max="3" width="10.875" style="178" customWidth="1"/>
  </cols>
  <sheetData>
    <row r="1" spans="1:3">
      <c r="A1" s="14" t="s">
        <v>256</v>
      </c>
      <c r="B1" s="178" t="s">
        <v>459</v>
      </c>
      <c r="C1" s="178" t="s">
        <v>458</v>
      </c>
    </row>
    <row r="2" spans="1:3">
      <c r="A2" s="14">
        <v>-0.2</v>
      </c>
      <c r="B2" s="178">
        <v>0</v>
      </c>
      <c r="C2" s="178">
        <v>0</v>
      </c>
    </row>
    <row r="3" spans="1:3">
      <c r="A3" s="14">
        <v>-0.18</v>
      </c>
      <c r="B3" s="178">
        <v>0</v>
      </c>
      <c r="C3" s="178">
        <v>0</v>
      </c>
    </row>
    <row r="4" spans="1:3">
      <c r="A4" s="14">
        <v>-0.16</v>
      </c>
      <c r="B4" s="178">
        <v>0</v>
      </c>
      <c r="C4" s="178">
        <v>0</v>
      </c>
    </row>
    <row r="5" spans="1:3">
      <c r="A5" s="14">
        <v>-0.14000000000000001</v>
      </c>
      <c r="B5" s="178">
        <v>0</v>
      </c>
      <c r="C5" s="178">
        <v>0</v>
      </c>
    </row>
    <row r="6" spans="1:3">
      <c r="A6" s="14">
        <v>-0.12</v>
      </c>
      <c r="B6" s="178">
        <v>0</v>
      </c>
      <c r="C6" s="178">
        <v>0</v>
      </c>
    </row>
    <row r="7" spans="1:3">
      <c r="A7" s="14">
        <v>-0.1</v>
      </c>
      <c r="B7" s="178">
        <v>0</v>
      </c>
      <c r="C7" s="178">
        <v>0</v>
      </c>
    </row>
    <row r="8" spans="1:3">
      <c r="A8" s="14">
        <v>-0.08</v>
      </c>
      <c r="B8" s="178">
        <v>0</v>
      </c>
      <c r="C8" s="178">
        <v>0</v>
      </c>
    </row>
    <row r="9" spans="1:3">
      <c r="A9" s="14">
        <v>-0.06</v>
      </c>
      <c r="B9" s="178">
        <v>0</v>
      </c>
      <c r="C9" s="178">
        <v>0</v>
      </c>
    </row>
    <row r="10" spans="1:3">
      <c r="A10" s="14">
        <v>-0.04</v>
      </c>
      <c r="B10" s="178">
        <v>0</v>
      </c>
      <c r="C10" s="178">
        <v>0</v>
      </c>
    </row>
    <row r="11" spans="1:3">
      <c r="A11" s="14">
        <v>-0.02</v>
      </c>
      <c r="B11" s="178">
        <v>0</v>
      </c>
      <c r="C11" s="178">
        <v>0</v>
      </c>
    </row>
    <row r="12" spans="1:3">
      <c r="A12" s="14">
        <v>0</v>
      </c>
      <c r="B12" s="178">
        <v>0</v>
      </c>
      <c r="C12" s="178">
        <v>0</v>
      </c>
    </row>
    <row r="13" spans="1:3">
      <c r="A13" s="14">
        <v>0.02</v>
      </c>
      <c r="B13" s="178">
        <v>16</v>
      </c>
      <c r="C13" s="178">
        <v>19</v>
      </c>
    </row>
    <row r="14" spans="1:3">
      <c r="A14" s="14">
        <v>0.04</v>
      </c>
      <c r="B14" s="178">
        <v>11</v>
      </c>
      <c r="C14" s="178">
        <v>10</v>
      </c>
    </row>
    <row r="15" spans="1:3">
      <c r="A15" s="14">
        <v>0.06</v>
      </c>
      <c r="B15" s="178">
        <v>7</v>
      </c>
      <c r="C15" s="178">
        <v>4</v>
      </c>
    </row>
    <row r="16" spans="1:3">
      <c r="A16" s="14">
        <v>0.08</v>
      </c>
      <c r="B16" s="178">
        <v>6</v>
      </c>
      <c r="C16" s="178">
        <v>7</v>
      </c>
    </row>
    <row r="17" spans="1:3">
      <c r="A17" s="14">
        <v>0.1</v>
      </c>
      <c r="B17" s="178">
        <v>5</v>
      </c>
      <c r="C17" s="178">
        <v>7</v>
      </c>
    </row>
    <row r="18" spans="1:3">
      <c r="A18" s="14">
        <v>0.12</v>
      </c>
      <c r="B18" s="178">
        <v>1</v>
      </c>
      <c r="C18" s="178">
        <v>2</v>
      </c>
    </row>
    <row r="19" spans="1:3">
      <c r="A19" s="14">
        <v>0.14000000000000001</v>
      </c>
      <c r="B19" s="178">
        <v>2</v>
      </c>
      <c r="C19" s="178">
        <v>1</v>
      </c>
    </row>
    <row r="20" spans="1:3">
      <c r="A20" s="14">
        <v>0.16</v>
      </c>
      <c r="B20" s="178">
        <v>1</v>
      </c>
      <c r="C20" s="178">
        <v>0</v>
      </c>
    </row>
    <row r="21" spans="1:3">
      <c r="A21" s="14">
        <v>0.18</v>
      </c>
      <c r="B21" s="178">
        <v>0</v>
      </c>
      <c r="C21" s="178">
        <v>0</v>
      </c>
    </row>
    <row r="22" spans="1:3">
      <c r="A22" s="14">
        <v>0.2</v>
      </c>
      <c r="B22" s="178">
        <v>0</v>
      </c>
      <c r="C22" s="178">
        <v>0</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E381"/>
  <sheetViews>
    <sheetView topLeftCell="M1" workbookViewId="0">
      <pane ySplit="4" topLeftCell="A17" activePane="bottomLeft" state="frozenSplit"/>
      <selection activeCell="D1" sqref="D1"/>
      <selection pane="bottomLeft" activeCell="R61" sqref="R61"/>
    </sheetView>
  </sheetViews>
  <sheetFormatPr defaultColWidth="16.125" defaultRowHeight="12.75"/>
  <cols>
    <col min="1" max="1" width="16.125" style="17"/>
    <col min="2" max="2" width="17.875" style="17" bestFit="1" customWidth="1"/>
    <col min="3" max="9" width="16.125" style="17"/>
    <col min="10" max="10" width="20.875" style="17" customWidth="1"/>
    <col min="11" max="11" width="38.125" style="17" customWidth="1"/>
    <col min="12" max="12" width="10.125" style="17" customWidth="1"/>
    <col min="13" max="14" width="16.125" style="17"/>
    <col min="15" max="15" width="19.375" style="17" customWidth="1"/>
    <col min="16" max="16" width="24.125" style="17" customWidth="1"/>
    <col min="17" max="17" width="22.125" style="17" customWidth="1"/>
    <col min="18" max="18" width="25" style="17" customWidth="1"/>
    <col min="19" max="19" width="26.375" style="17" bestFit="1" customWidth="1"/>
    <col min="20" max="20" width="26.375" style="17" customWidth="1"/>
    <col min="21" max="29" width="16.125" style="17"/>
    <col min="30" max="30" width="31.625" style="17" bestFit="1" customWidth="1"/>
    <col min="31" max="31" width="23.875" style="17" customWidth="1"/>
    <col min="32" max="41" width="20.125" style="17" customWidth="1"/>
    <col min="42" max="44" width="16.125" style="17"/>
    <col min="45" max="45" width="36.125" style="17" customWidth="1"/>
    <col min="46" max="47" width="16.125" style="17"/>
    <col min="48" max="48" width="17" style="17" bestFit="1" customWidth="1"/>
    <col min="49" max="49" width="47.875" style="17" customWidth="1"/>
    <col min="50" max="50" width="16.125" style="17"/>
    <col min="51" max="51" width="19.375" style="17" customWidth="1"/>
    <col min="52" max="53" width="16.125" style="17"/>
    <col min="54" max="54" width="29.125" style="17" bestFit="1" customWidth="1"/>
    <col min="55" max="55" width="17.125" style="17" customWidth="1"/>
    <col min="56" max="56" width="23.125" style="17" customWidth="1"/>
    <col min="57" max="58" width="16.125" style="17"/>
    <col min="59" max="59" width="46.125" style="17" customWidth="1"/>
    <col min="60" max="60" width="14" style="17" customWidth="1"/>
    <col min="61" max="16384" width="16.125" style="17"/>
  </cols>
  <sheetData>
    <row r="1" spans="1:57" ht="57" customHeight="1">
      <c r="A1" s="15" t="s">
        <v>151</v>
      </c>
      <c r="B1" s="16"/>
      <c r="C1" s="16"/>
      <c r="D1" s="16"/>
      <c r="E1" s="16"/>
      <c r="J1" s="16"/>
      <c r="K1" s="16"/>
      <c r="L1" s="16"/>
      <c r="M1" s="16"/>
      <c r="O1" s="18"/>
      <c r="P1" s="18"/>
    </row>
    <row r="2" spans="1:57" ht="18" thickBot="1">
      <c r="R2" s="19" t="s">
        <v>152</v>
      </c>
      <c r="S2" s="20">
        <f>ASSUMPTION!F23</f>
        <v>12</v>
      </c>
      <c r="T2" s="20"/>
      <c r="AD2" s="19" t="s">
        <v>266</v>
      </c>
      <c r="AE2" s="20">
        <f>ASSUMPTION!F22</f>
        <v>12</v>
      </c>
      <c r="AF2" s="21"/>
      <c r="AG2" s="21"/>
      <c r="AH2" s="22">
        <f>MAX(CALCS_Sample!AH5:AH63)</f>
        <v>35</v>
      </c>
      <c r="AI2" s="23">
        <f ca="1">MIN(CALCS_Sample!AI5:AI63)</f>
        <v>-1.9877</v>
      </c>
      <c r="AJ2" s="23">
        <f ca="1">MIN(CALCS_Sample!AJ5:AJ63)</f>
        <v>-2.0455907664270527</v>
      </c>
      <c r="AM2" s="22">
        <f>MAX(CALCS_Sample!AM5:AM63)</f>
        <v>10</v>
      </c>
      <c r="AN2" s="23">
        <f ca="1">MIN(CALCS_Sample!AN5:AN63)</f>
        <v>-5.1200377514304174E-2</v>
      </c>
      <c r="AO2" s="23">
        <f ca="1">MIN(CALCS_Sample!AO5:AO63)</f>
        <v>-3.6701344553060067E-2</v>
      </c>
      <c r="AQ2" s="24">
        <f>SUM(CALCS_Sample!AQ5:AQ29)</f>
        <v>-1.3293000000000001</v>
      </c>
      <c r="AR2" s="24">
        <f>SUM(CALCS_Sample!AR5:AR29)</f>
        <v>0.45979999999999988</v>
      </c>
      <c r="AS2" s="25">
        <f>SUM(CALCS_Sample!AS5:AS29)</f>
        <v>1.7890999999999999</v>
      </c>
      <c r="AU2" s="23">
        <f>SUM(CALCS_Sample!AU5:AU37)</f>
        <v>1.4283999999999999</v>
      </c>
      <c r="AV2" s="23">
        <f>SUM(CALCS_Sample!AV5:AV37)</f>
        <v>0.21999999999999997</v>
      </c>
      <c r="AW2" s="26">
        <f>SUM(CALCS_Sample!AW5:AW37)</f>
        <v>-1.2083999999999999</v>
      </c>
    </row>
    <row r="3" spans="1:57" s="34" customFormat="1" ht="29.25" customHeight="1" thickBot="1">
      <c r="A3" s="27" t="s">
        <v>267</v>
      </c>
      <c r="B3" s="28" t="s">
        <v>268</v>
      </c>
      <c r="C3" s="29" t="s">
        <v>269</v>
      </c>
      <c r="D3" s="29"/>
      <c r="E3" s="30"/>
      <c r="F3" s="31" t="s">
        <v>270</v>
      </c>
      <c r="G3" s="32" t="s">
        <v>269</v>
      </c>
      <c r="H3" s="29"/>
      <c r="I3" s="30"/>
      <c r="J3" s="28" t="s">
        <v>271</v>
      </c>
      <c r="K3" s="33" t="s">
        <v>269</v>
      </c>
      <c r="O3" s="35" t="s">
        <v>175</v>
      </c>
      <c r="R3" s="35" t="s">
        <v>176</v>
      </c>
      <c r="V3" s="35" t="s">
        <v>40</v>
      </c>
      <c r="Z3" s="35" t="s">
        <v>41</v>
      </c>
      <c r="AF3" s="35" t="s">
        <v>42</v>
      </c>
      <c r="AK3" s="35" t="s">
        <v>43</v>
      </c>
      <c r="AP3" s="28" t="s">
        <v>44</v>
      </c>
      <c r="AQ3" s="36" t="s">
        <v>45</v>
      </c>
      <c r="AR3" s="29"/>
      <c r="AS3" s="30"/>
      <c r="AT3" s="28" t="s">
        <v>46</v>
      </c>
      <c r="AU3" s="36" t="s">
        <v>115</v>
      </c>
      <c r="AV3" s="37"/>
      <c r="AW3" s="38"/>
      <c r="AX3" s="35" t="s">
        <v>116</v>
      </c>
      <c r="BB3" s="39"/>
      <c r="BC3" s="40" t="s">
        <v>117</v>
      </c>
      <c r="BD3" s="41" t="s">
        <v>118</v>
      </c>
      <c r="BE3" s="41" t="s">
        <v>119</v>
      </c>
    </row>
    <row r="4" spans="1:57" s="67" customFormat="1" ht="15.4" thickBot="1">
      <c r="A4" s="42" t="s">
        <v>120</v>
      </c>
      <c r="B4" s="43" t="s">
        <v>121</v>
      </c>
      <c r="C4" s="44" t="s">
        <v>122</v>
      </c>
      <c r="D4" s="44" t="s">
        <v>123</v>
      </c>
      <c r="E4" s="45" t="s">
        <v>124</v>
      </c>
      <c r="F4" s="46" t="s">
        <v>121</v>
      </c>
      <c r="G4" s="47" t="s">
        <v>122</v>
      </c>
      <c r="H4" s="44" t="s">
        <v>123</v>
      </c>
      <c r="I4" s="45" t="s">
        <v>124</v>
      </c>
      <c r="J4" s="43" t="s">
        <v>125</v>
      </c>
      <c r="K4" s="44" t="s">
        <v>126</v>
      </c>
      <c r="L4" s="44" t="s">
        <v>127</v>
      </c>
      <c r="M4" s="44" t="s">
        <v>128</v>
      </c>
      <c r="N4" s="45" t="s">
        <v>129</v>
      </c>
      <c r="O4" s="48" t="str">
        <f>F4</f>
        <v>1XI_IXIC</v>
      </c>
      <c r="P4" s="48" t="str">
        <f>G4</f>
        <v>2T15_SOPH</v>
      </c>
      <c r="Q4" s="49" t="s">
        <v>130</v>
      </c>
      <c r="R4" s="50" t="str">
        <f>F4</f>
        <v>1XI_IXIC</v>
      </c>
      <c r="S4" s="50" t="str">
        <f>G4</f>
        <v>2T15_SOPH</v>
      </c>
      <c r="T4" s="51" t="s">
        <v>131</v>
      </c>
      <c r="U4" s="45" t="s">
        <v>132</v>
      </c>
      <c r="V4" s="52" t="s">
        <v>133</v>
      </c>
      <c r="W4" s="53" t="s">
        <v>134</v>
      </c>
      <c r="X4" s="54" t="s">
        <v>135</v>
      </c>
      <c r="Y4" s="55" t="s">
        <v>136</v>
      </c>
      <c r="Z4" s="52" t="s">
        <v>133</v>
      </c>
      <c r="AA4" s="53" t="s">
        <v>134</v>
      </c>
      <c r="AB4" s="54" t="s">
        <v>135</v>
      </c>
      <c r="AC4" s="49" t="s">
        <v>137</v>
      </c>
      <c r="AD4" s="56" t="s">
        <v>145</v>
      </c>
      <c r="AE4" s="57" t="s">
        <v>146</v>
      </c>
      <c r="AF4" s="58" t="s">
        <v>147</v>
      </c>
      <c r="AG4" s="59" t="s">
        <v>148</v>
      </c>
      <c r="AH4" s="59" t="s">
        <v>149</v>
      </c>
      <c r="AI4" s="60" t="s">
        <v>247</v>
      </c>
      <c r="AJ4" s="61" t="s">
        <v>248</v>
      </c>
      <c r="AK4" s="62" t="s">
        <v>249</v>
      </c>
      <c r="AL4" s="63" t="s">
        <v>250</v>
      </c>
      <c r="AM4" s="63" t="s">
        <v>251</v>
      </c>
      <c r="AN4" s="64" t="s">
        <v>252</v>
      </c>
      <c r="AO4" s="45" t="s">
        <v>253</v>
      </c>
      <c r="AP4" s="43" t="s">
        <v>120</v>
      </c>
      <c r="AQ4" s="51" t="s">
        <v>254</v>
      </c>
      <c r="AR4" s="51" t="s">
        <v>229</v>
      </c>
      <c r="AS4" s="45" t="s">
        <v>255</v>
      </c>
      <c r="AT4" s="43" t="s">
        <v>120</v>
      </c>
      <c r="AU4" s="51" t="s">
        <v>254</v>
      </c>
      <c r="AV4" s="51" t="s">
        <v>229</v>
      </c>
      <c r="AW4" s="45" t="s">
        <v>255</v>
      </c>
      <c r="AX4" s="65" t="s">
        <v>256</v>
      </c>
      <c r="AY4" s="63" t="str">
        <f>B4</f>
        <v>1XI_IXIC</v>
      </c>
      <c r="AZ4" s="66" t="str">
        <f>C4</f>
        <v>2T15_SOPH</v>
      </c>
      <c r="BB4" s="68" t="s">
        <v>257</v>
      </c>
      <c r="BC4" s="69">
        <v>0.02</v>
      </c>
      <c r="BD4" s="70">
        <f>BD11</f>
        <v>5.99</v>
      </c>
      <c r="BE4" s="71">
        <f>BE11</f>
        <v>0.1198</v>
      </c>
    </row>
    <row r="5" spans="1:57" ht="17.649999999999999">
      <c r="A5" s="72">
        <v>38687</v>
      </c>
      <c r="B5" s="73">
        <v>-1.23E-2</v>
      </c>
      <c r="C5" s="74">
        <v>1.2800000000000001E-2</v>
      </c>
      <c r="D5" s="74">
        <v>8.0000000000000004E-4</v>
      </c>
      <c r="E5" s="75">
        <v>0</v>
      </c>
      <c r="F5" s="76">
        <v>1000</v>
      </c>
      <c r="G5" s="76">
        <v>1000</v>
      </c>
      <c r="H5" s="76">
        <v>1000</v>
      </c>
      <c r="I5" s="76">
        <v>1000</v>
      </c>
      <c r="J5" s="77">
        <v>0.26</v>
      </c>
      <c r="K5" s="77">
        <v>0.24</v>
      </c>
      <c r="L5" s="78">
        <f t="shared" ref="L5:L36" si="0">-K5</f>
        <v>-0.24</v>
      </c>
      <c r="M5" s="79">
        <f t="shared" ref="M5:M36" si="1">J5+K5</f>
        <v>0.5</v>
      </c>
      <c r="N5" s="79">
        <f t="shared" ref="N5:N36" si="2">J5-K5</f>
        <v>2.0000000000000018E-2</v>
      </c>
      <c r="O5" s="80"/>
      <c r="P5" s="80"/>
      <c r="Q5" s="81">
        <f>G5</f>
        <v>1000</v>
      </c>
      <c r="R5" s="212" t="s">
        <v>258</v>
      </c>
      <c r="S5" s="213"/>
      <c r="T5" s="213"/>
      <c r="U5" s="213"/>
      <c r="V5" s="213"/>
      <c r="W5" s="213"/>
      <c r="X5" s="213"/>
      <c r="Y5" s="213"/>
      <c r="Z5" s="213"/>
      <c r="AA5" s="213"/>
      <c r="AB5" s="213"/>
      <c r="AC5" s="214"/>
      <c r="AD5" s="221" t="s">
        <v>259</v>
      </c>
      <c r="AE5" s="222"/>
      <c r="AF5" s="82">
        <f>MAX(F$4:F5)</f>
        <v>1000</v>
      </c>
      <c r="AG5" s="83">
        <f ca="1">MIN(INDIRECT("f"&amp;ROW(AG5)-AH5):F5)</f>
        <v>1000</v>
      </c>
      <c r="AH5" s="83"/>
      <c r="AI5" s="83"/>
      <c r="AJ5" s="83"/>
      <c r="AK5" s="76">
        <f>MAX(G$4:G5)</f>
        <v>1000</v>
      </c>
      <c r="AL5" s="17">
        <f ca="1">MIN(INDIRECT("g"&amp;ROW(AL5)-AM5):G5)</f>
        <v>1000</v>
      </c>
      <c r="AP5" s="84">
        <v>38687</v>
      </c>
      <c r="AQ5" s="85">
        <v>-1.23E-2</v>
      </c>
      <c r="AR5" s="85">
        <v>1.2800000000000001E-2</v>
      </c>
      <c r="AS5" s="86">
        <f t="shared" ref="AS5:AS29" si="3">AR5-AQ5</f>
        <v>2.5100000000000001E-2</v>
      </c>
      <c r="AT5" s="87">
        <v>38718</v>
      </c>
      <c r="AU5" s="88">
        <v>4.5600000000000002E-2</v>
      </c>
      <c r="AV5" s="88">
        <v>1.0200000000000001E-2</v>
      </c>
      <c r="AW5" s="25">
        <f t="shared" ref="AW5:AW37" si="4">AV5-AU5</f>
        <v>-3.5400000000000001E-2</v>
      </c>
      <c r="AX5" s="89">
        <f>-ROUND(BE11,2)</f>
        <v>-0.12</v>
      </c>
      <c r="AY5" s="90">
        <f>COUNTIF($B$5:$B$400,"&lt;="&amp;AX5)</f>
        <v>1</v>
      </c>
      <c r="AZ5" s="90">
        <f>COUNTIF($C$5:$C$400,"&lt;="&amp;AX5)</f>
        <v>0</v>
      </c>
      <c r="BB5" s="35" t="s">
        <v>260</v>
      </c>
      <c r="BC5" s="91">
        <v>2</v>
      </c>
      <c r="BD5" s="92"/>
      <c r="BE5" s="93"/>
    </row>
    <row r="6" spans="1:57" ht="17.649999999999999">
      <c r="A6" s="94">
        <v>38718</v>
      </c>
      <c r="B6" s="73">
        <v>4.5600000000000002E-2</v>
      </c>
      <c r="C6" s="74">
        <v>1.0200000000000001E-2</v>
      </c>
      <c r="D6" s="74">
        <v>7.2900000000000006E-2</v>
      </c>
      <c r="E6" s="75">
        <v>0</v>
      </c>
      <c r="F6" s="76">
        <v>-987.7</v>
      </c>
      <c r="G6" s="76">
        <v>1012.8</v>
      </c>
      <c r="H6" s="76">
        <v>1000.8</v>
      </c>
      <c r="I6" s="76">
        <v>1000</v>
      </c>
      <c r="J6" s="77">
        <v>0.21</v>
      </c>
      <c r="K6" s="77">
        <v>0.2</v>
      </c>
      <c r="L6" s="78">
        <f t="shared" si="0"/>
        <v>-0.2</v>
      </c>
      <c r="M6" s="95">
        <f t="shared" si="1"/>
        <v>0.41000000000000003</v>
      </c>
      <c r="N6" s="95">
        <f t="shared" si="2"/>
        <v>9.9999999999999811E-3</v>
      </c>
      <c r="O6" s="96">
        <f>STDEV(B$5:B6)*SQRT(12)</f>
        <v>0.141825456107146</v>
      </c>
      <c r="P6" s="96">
        <f>STDEV(C$5:C6)*SQRT(12)</f>
        <v>6.3686733312362624E-3</v>
      </c>
      <c r="Q6" s="97">
        <f t="shared" ref="Q6:Q37" si="5">Q5*(1+(C5/M6))</f>
        <v>1031.219512195122</v>
      </c>
      <c r="R6" s="215"/>
      <c r="S6" s="216"/>
      <c r="T6" s="216"/>
      <c r="U6" s="216"/>
      <c r="V6" s="216"/>
      <c r="W6" s="216"/>
      <c r="X6" s="216"/>
      <c r="Y6" s="216"/>
      <c r="Z6" s="216"/>
      <c r="AA6" s="216"/>
      <c r="AB6" s="216"/>
      <c r="AC6" s="217"/>
      <c r="AD6" s="223"/>
      <c r="AE6" s="224"/>
      <c r="AF6" s="82">
        <f>MAX(F$4:F6)</f>
        <v>1000</v>
      </c>
      <c r="AG6" s="83">
        <f ca="1">MIN(INDIRECT("f"&amp;ROW(AG6)-AH6):F6)</f>
        <v>-987.7</v>
      </c>
      <c r="AH6" s="83">
        <f t="shared" ref="AH6:AH37" si="6">IF(AF6=AF5,IF(AF6=0,0,1+AH5),0)</f>
        <v>1</v>
      </c>
      <c r="AI6" s="98">
        <f t="shared" ref="AI6:AI37" ca="1" si="7">IF(AG5&lt;=AG6,"",AG6/AF6-1)</f>
        <v>-1.9877</v>
      </c>
      <c r="AJ6" s="99">
        <f t="shared" ref="AJ6:AJ37" ca="1" si="8">AG6/AG5-1</f>
        <v>-1.9877</v>
      </c>
      <c r="AK6" s="76">
        <f>MAX(G$4:G6)</f>
        <v>1012.8</v>
      </c>
      <c r="AL6" s="17">
        <f ca="1">MIN(INDIRECT("g"&amp;ROW(AL6)-AM6):G6)</f>
        <v>1012.8</v>
      </c>
      <c r="AM6" s="17">
        <f t="shared" ref="AM6:AM37" si="9">IF(AK6=AK5,IF(AK6=0,0,1+AM5),0)</f>
        <v>0</v>
      </c>
      <c r="AN6" s="100" t="str">
        <f t="shared" ref="AN6:AN37" ca="1" si="10">IF(AL5&lt;=AL6,"",AL6/AK6-1)</f>
        <v/>
      </c>
      <c r="AO6" s="101">
        <f t="shared" ref="AO6:AO37" ca="1" si="11">AL6/AL5-1</f>
        <v>1.2799999999999923E-2</v>
      </c>
      <c r="AP6" s="84">
        <v>38749</v>
      </c>
      <c r="AQ6" s="85">
        <v>-1.06E-2</v>
      </c>
      <c r="AR6" s="85">
        <v>1.14E-2</v>
      </c>
      <c r="AS6" s="85">
        <f t="shared" si="3"/>
        <v>2.1999999999999999E-2</v>
      </c>
      <c r="AT6" s="87">
        <v>38777</v>
      </c>
      <c r="AU6" s="88">
        <v>2.5600000000000001E-2</v>
      </c>
      <c r="AV6" s="88">
        <v>2.87E-2</v>
      </c>
      <c r="AW6" s="88">
        <f t="shared" si="4"/>
        <v>3.0999999999999986E-3</v>
      </c>
      <c r="AX6" s="89">
        <f t="shared" ref="AX6:AX21" si="12">AX5+$BC$4</f>
        <v>-9.9999999999999992E-2</v>
      </c>
      <c r="AY6" s="102">
        <f>COUNTIF($B$5:$B$400,"&lt;="&amp;AX6)-SUM($AY$5:AY5)</f>
        <v>2</v>
      </c>
      <c r="AZ6" s="102">
        <f>COUNTIF($C$5:$C$400,"&lt;="&amp;AX6)-SUM($AZ$5:AZ5)</f>
        <v>0</v>
      </c>
      <c r="BB6" s="103" t="s">
        <v>261</v>
      </c>
      <c r="BC6" s="104">
        <v>5</v>
      </c>
      <c r="BD6" s="70">
        <f>BC6</f>
        <v>5</v>
      </c>
      <c r="BE6" s="71"/>
    </row>
    <row r="7" spans="1:57" ht="15">
      <c r="A7" s="94">
        <v>38749</v>
      </c>
      <c r="B7" s="73">
        <v>-1.06E-2</v>
      </c>
      <c r="C7" s="74">
        <v>1.14E-2</v>
      </c>
      <c r="D7" s="74">
        <v>-4.7100000000000003E-2</v>
      </c>
      <c r="E7" s="75">
        <v>0</v>
      </c>
      <c r="F7" s="76">
        <v>1032.73</v>
      </c>
      <c r="G7" s="76">
        <v>1023.13</v>
      </c>
      <c r="H7" s="76">
        <v>1073.75</v>
      </c>
      <c r="I7" s="76">
        <v>1000</v>
      </c>
      <c r="J7" s="77">
        <v>0.28999999999999998</v>
      </c>
      <c r="K7" s="77">
        <v>0.28999999999999998</v>
      </c>
      <c r="L7" s="78">
        <f t="shared" si="0"/>
        <v>-0.28999999999999998</v>
      </c>
      <c r="M7" s="95">
        <f t="shared" si="1"/>
        <v>0.57999999999999996</v>
      </c>
      <c r="N7" s="95">
        <f t="shared" si="2"/>
        <v>0</v>
      </c>
      <c r="O7" s="80">
        <f>STDEV(B$5:B7)*SQRT(12)</f>
        <v>0.11413798666526409</v>
      </c>
      <c r="P7" s="80">
        <f>STDEV(C$5:C7)*SQRT(12)</f>
        <v>4.5077710678338573E-3</v>
      </c>
      <c r="Q7" s="82">
        <f t="shared" si="5"/>
        <v>1049.3547518923465</v>
      </c>
      <c r="R7" s="215"/>
      <c r="S7" s="216"/>
      <c r="T7" s="216"/>
      <c r="U7" s="216"/>
      <c r="V7" s="216"/>
      <c r="W7" s="216"/>
      <c r="X7" s="216"/>
      <c r="Y7" s="216"/>
      <c r="Z7" s="216"/>
      <c r="AA7" s="216"/>
      <c r="AB7" s="216"/>
      <c r="AC7" s="217"/>
      <c r="AD7" s="223"/>
      <c r="AE7" s="224"/>
      <c r="AF7" s="82">
        <f>MAX(F$4:F7)</f>
        <v>1032.73</v>
      </c>
      <c r="AG7" s="83">
        <f ca="1">MIN(INDIRECT("f"&amp;ROW(AG7)-AH7):F7)</f>
        <v>1032.73</v>
      </c>
      <c r="AH7" s="83">
        <f t="shared" si="6"/>
        <v>0</v>
      </c>
      <c r="AI7" s="98" t="str">
        <f t="shared" ca="1" si="7"/>
        <v/>
      </c>
      <c r="AJ7" s="99">
        <f t="shared" ca="1" si="8"/>
        <v>-2.0455907664270527</v>
      </c>
      <c r="AK7" s="76">
        <f>MAX(G$4:G7)</f>
        <v>1023.13</v>
      </c>
      <c r="AL7" s="17">
        <f ca="1">MIN(INDIRECT("g"&amp;ROW(AL7)-AM7):G7)</f>
        <v>1023.13</v>
      </c>
      <c r="AM7" s="17">
        <f t="shared" si="9"/>
        <v>0</v>
      </c>
      <c r="AN7" s="100" t="str">
        <f t="shared" ca="1" si="10"/>
        <v/>
      </c>
      <c r="AO7" s="101">
        <f t="shared" ca="1" si="11"/>
        <v>1.0199447077409163E-2</v>
      </c>
      <c r="AP7" s="84">
        <v>38808</v>
      </c>
      <c r="AQ7" s="85">
        <v>-7.4000000000000003E-3</v>
      </c>
      <c r="AR7" s="85">
        <v>1.9300000000000001E-2</v>
      </c>
      <c r="AS7" s="85">
        <f t="shared" si="3"/>
        <v>2.6700000000000002E-2</v>
      </c>
      <c r="AT7" s="87">
        <v>38930</v>
      </c>
      <c r="AU7" s="88">
        <v>4.41E-2</v>
      </c>
      <c r="AV7" s="88">
        <v>7.4999999999999997E-3</v>
      </c>
      <c r="AW7" s="88">
        <f t="shared" si="4"/>
        <v>-3.6600000000000001E-2</v>
      </c>
      <c r="AX7" s="89">
        <f t="shared" si="12"/>
        <v>-7.9999999999999988E-2</v>
      </c>
      <c r="AY7" s="102">
        <f>COUNTIF($B$5:$B$400,"&lt;="&amp;AX7)-SUM($AY$5:AY6)</f>
        <v>3</v>
      </c>
      <c r="AZ7" s="102">
        <f>COUNTIF($C$5:$C$400,"&lt;="&amp;AX7)-SUM($AZ$5:AZ6)</f>
        <v>0</v>
      </c>
      <c r="BB7" s="68" t="s">
        <v>262</v>
      </c>
      <c r="BC7" s="104">
        <v>4</v>
      </c>
      <c r="BD7" s="105">
        <f>BC7</f>
        <v>4</v>
      </c>
      <c r="BE7" s="106">
        <f>BC4*BC5^BC7</f>
        <v>0.32</v>
      </c>
    </row>
    <row r="8" spans="1:57" ht="15">
      <c r="A8" s="94">
        <v>38777</v>
      </c>
      <c r="B8" s="73">
        <v>2.5600000000000001E-2</v>
      </c>
      <c r="C8" s="74">
        <v>2.87E-2</v>
      </c>
      <c r="D8" s="74">
        <v>-7.6999999999999999E-2</v>
      </c>
      <c r="E8" s="75">
        <v>0</v>
      </c>
      <c r="F8" s="76">
        <v>1021.79</v>
      </c>
      <c r="G8" s="76">
        <v>1034.79</v>
      </c>
      <c r="H8" s="76">
        <v>1023.18</v>
      </c>
      <c r="I8" s="76">
        <v>1000</v>
      </c>
      <c r="J8" s="77">
        <v>0.32</v>
      </c>
      <c r="K8" s="77">
        <v>0.31</v>
      </c>
      <c r="L8" s="78">
        <f t="shared" si="0"/>
        <v>-0.31</v>
      </c>
      <c r="M8" s="95">
        <f t="shared" si="1"/>
        <v>0.63</v>
      </c>
      <c r="N8" s="95">
        <f t="shared" si="2"/>
        <v>1.0000000000000009E-2</v>
      </c>
      <c r="O8" s="80">
        <f>STDEV(B$5:B8)*SQRT(12)</f>
        <v>9.8288300422786828E-2</v>
      </c>
      <c r="P8" s="80">
        <f>STDEV(C$5:C8)*SQRT(12)</f>
        <v>3.0075072734741637E-2</v>
      </c>
      <c r="Q8" s="82">
        <f t="shared" si="5"/>
        <v>1068.343075974208</v>
      </c>
      <c r="R8" s="215"/>
      <c r="S8" s="216"/>
      <c r="T8" s="216"/>
      <c r="U8" s="216"/>
      <c r="V8" s="216"/>
      <c r="W8" s="216"/>
      <c r="X8" s="216"/>
      <c r="Y8" s="216"/>
      <c r="Z8" s="216"/>
      <c r="AA8" s="216"/>
      <c r="AB8" s="216"/>
      <c r="AC8" s="217"/>
      <c r="AD8" s="223"/>
      <c r="AE8" s="224"/>
      <c r="AF8" s="82">
        <f>MAX(F$4:F8)</f>
        <v>1032.73</v>
      </c>
      <c r="AG8" s="83">
        <f ca="1">MIN(INDIRECT("f"&amp;ROW(AG8)-AH8):F8)</f>
        <v>1021.79</v>
      </c>
      <c r="AH8" s="83">
        <f t="shared" si="6"/>
        <v>1</v>
      </c>
      <c r="AI8" s="98">
        <f t="shared" ca="1" si="7"/>
        <v>-1.059328188393871E-2</v>
      </c>
      <c r="AJ8" s="99">
        <f t="shared" ca="1" si="8"/>
        <v>-1.059328188393871E-2</v>
      </c>
      <c r="AK8" s="76">
        <f>MAX(G$4:G8)</f>
        <v>1034.79</v>
      </c>
      <c r="AL8" s="17">
        <f ca="1">MIN(INDIRECT("g"&amp;ROW(AL8)-AM8):G8)</f>
        <v>1034.79</v>
      </c>
      <c r="AM8" s="17">
        <f t="shared" si="9"/>
        <v>0</v>
      </c>
      <c r="AN8" s="100" t="str">
        <f t="shared" ca="1" si="10"/>
        <v/>
      </c>
      <c r="AO8" s="101">
        <f t="shared" ca="1" si="11"/>
        <v>1.1396401239334164E-2</v>
      </c>
      <c r="AP8" s="84">
        <v>38838</v>
      </c>
      <c r="AQ8" s="85">
        <v>-6.1899999999999997E-2</v>
      </c>
      <c r="AR8" s="85">
        <v>1.54E-2</v>
      </c>
      <c r="AS8" s="85">
        <f t="shared" si="3"/>
        <v>7.7299999999999994E-2</v>
      </c>
      <c r="AT8" s="87">
        <v>38961</v>
      </c>
      <c r="AU8" s="88">
        <v>3.4200000000000001E-2</v>
      </c>
      <c r="AV8" s="88">
        <v>2.9899999999999999E-2</v>
      </c>
      <c r="AW8" s="88">
        <f t="shared" si="4"/>
        <v>-4.3000000000000017E-3</v>
      </c>
      <c r="AX8" s="89">
        <f t="shared" si="12"/>
        <v>-5.9999999999999984E-2</v>
      </c>
      <c r="AY8" s="102">
        <f>COUNTIF($B$5:$B$400,"&lt;="&amp;AX8)-SUM($AY$5:AY7)</f>
        <v>6</v>
      </c>
      <c r="AZ8" s="102">
        <f>COUNTIF($C$5:$C$400,"&lt;="&amp;AX8)-SUM($AZ$5:AZ7)</f>
        <v>0</v>
      </c>
      <c r="BB8" s="68" t="s">
        <v>263</v>
      </c>
      <c r="BC8" s="104">
        <v>12</v>
      </c>
      <c r="BD8" s="105">
        <f>BC8</f>
        <v>12</v>
      </c>
      <c r="BE8" s="106">
        <f>BC4*BC5^BC8</f>
        <v>81.92</v>
      </c>
    </row>
    <row r="9" spans="1:57" ht="15">
      <c r="A9" s="94">
        <v>38808</v>
      </c>
      <c r="B9" s="73">
        <v>-7.4000000000000003E-3</v>
      </c>
      <c r="C9" s="74">
        <v>1.9300000000000001E-2</v>
      </c>
      <c r="D9" s="74">
        <v>1.7600000000000001E-2</v>
      </c>
      <c r="E9" s="75">
        <v>0</v>
      </c>
      <c r="F9" s="76">
        <v>1047.94</v>
      </c>
      <c r="G9" s="76">
        <v>1064.49</v>
      </c>
      <c r="H9" s="76">
        <v>944.39</v>
      </c>
      <c r="I9" s="76">
        <v>1000</v>
      </c>
      <c r="J9" s="77">
        <v>0.42</v>
      </c>
      <c r="K9" s="77">
        <v>0.43</v>
      </c>
      <c r="L9" s="78">
        <f t="shared" si="0"/>
        <v>-0.43</v>
      </c>
      <c r="M9" s="95">
        <f t="shared" si="1"/>
        <v>0.85</v>
      </c>
      <c r="N9" s="95">
        <f t="shared" si="2"/>
        <v>-1.0000000000000009E-2</v>
      </c>
      <c r="O9" s="80">
        <f>STDEV(B$5:B9)*SQRT(12)</f>
        <v>9.030893643488444E-2</v>
      </c>
      <c r="P9" s="80">
        <f>STDEV(C$5:C9)*SQRT(12)</f>
        <v>2.6612102509948356E-2</v>
      </c>
      <c r="Q9" s="82">
        <f t="shared" si="5"/>
        <v>1104.4153657159254</v>
      </c>
      <c r="R9" s="215"/>
      <c r="S9" s="216"/>
      <c r="T9" s="216"/>
      <c r="U9" s="216"/>
      <c r="V9" s="216"/>
      <c r="W9" s="216"/>
      <c r="X9" s="216"/>
      <c r="Y9" s="216"/>
      <c r="Z9" s="216"/>
      <c r="AA9" s="216"/>
      <c r="AB9" s="216"/>
      <c r="AC9" s="217"/>
      <c r="AD9" s="223"/>
      <c r="AE9" s="224"/>
      <c r="AF9" s="82">
        <f>MAX(F$4:F9)</f>
        <v>1047.94</v>
      </c>
      <c r="AG9" s="83">
        <f ca="1">MIN(INDIRECT("f"&amp;ROW(AG9)-AH9):F9)</f>
        <v>1047.94</v>
      </c>
      <c r="AH9" s="83">
        <f t="shared" si="6"/>
        <v>0</v>
      </c>
      <c r="AI9" s="98" t="str">
        <f t="shared" ca="1" si="7"/>
        <v/>
      </c>
      <c r="AJ9" s="99">
        <f t="shared" ca="1" si="8"/>
        <v>2.5592342849313443E-2</v>
      </c>
      <c r="AK9" s="76">
        <f>MAX(G$4:G9)</f>
        <v>1064.49</v>
      </c>
      <c r="AL9" s="17">
        <f ca="1">MIN(INDIRECT("g"&amp;ROW(AL9)-AM9):G9)</f>
        <v>1064.49</v>
      </c>
      <c r="AM9" s="17">
        <f t="shared" si="9"/>
        <v>0</v>
      </c>
      <c r="AN9" s="100" t="str">
        <f t="shared" ca="1" si="10"/>
        <v/>
      </c>
      <c r="AO9" s="101">
        <f t="shared" ca="1" si="11"/>
        <v>2.8701475661728537E-2</v>
      </c>
      <c r="AP9" s="84">
        <v>38869</v>
      </c>
      <c r="AQ9" s="85">
        <v>-3.0999999999999999E-3</v>
      </c>
      <c r="AR9" s="85">
        <v>1.5E-3</v>
      </c>
      <c r="AS9" s="85">
        <f t="shared" si="3"/>
        <v>4.5999999999999999E-3</v>
      </c>
      <c r="AT9" s="87">
        <v>38991</v>
      </c>
      <c r="AU9" s="88">
        <v>4.7899999999999998E-2</v>
      </c>
      <c r="AV9" s="88">
        <v>-3.3999999999999998E-3</v>
      </c>
      <c r="AW9" s="88">
        <f t="shared" si="4"/>
        <v>-5.1299999999999998E-2</v>
      </c>
      <c r="AX9" s="89">
        <f t="shared" si="12"/>
        <v>-3.999999999999998E-2</v>
      </c>
      <c r="AY9" s="102">
        <f>COUNTIF($B$5:$B$400,"&lt;="&amp;AX9)-SUM($AY$5:AY8)</f>
        <v>2</v>
      </c>
      <c r="AZ9" s="102">
        <f>COUNTIF($C$5:$C$400,"&lt;="&amp;AX9)-SUM($AZ$5:AZ8)</f>
        <v>0</v>
      </c>
      <c r="BB9" s="68"/>
      <c r="BC9" s="104"/>
      <c r="BD9" s="105"/>
      <c r="BE9" s="39"/>
    </row>
    <row r="10" spans="1:57" ht="15">
      <c r="A10" s="94">
        <v>38838</v>
      </c>
      <c r="B10" s="73">
        <v>-6.1899999999999997E-2</v>
      </c>
      <c r="C10" s="74">
        <v>1.54E-2</v>
      </c>
      <c r="D10" s="74">
        <v>0.41849999999999998</v>
      </c>
      <c r="E10" s="75">
        <v>0</v>
      </c>
      <c r="F10" s="76">
        <v>1040.19</v>
      </c>
      <c r="G10" s="76">
        <v>1085.03</v>
      </c>
      <c r="H10" s="76">
        <v>961.02</v>
      </c>
      <c r="I10" s="76">
        <v>1000</v>
      </c>
      <c r="J10" s="77">
        <v>0.41</v>
      </c>
      <c r="K10" s="77">
        <v>0.41</v>
      </c>
      <c r="L10" s="78">
        <f t="shared" si="0"/>
        <v>-0.41</v>
      </c>
      <c r="M10" s="95">
        <f t="shared" si="1"/>
        <v>0.82</v>
      </c>
      <c r="N10" s="95">
        <f t="shared" si="2"/>
        <v>0</v>
      </c>
      <c r="O10" s="80">
        <f>STDEV(B$5:B10)*SQRT(12)</f>
        <v>0.12785529320290184</v>
      </c>
      <c r="P10" s="80">
        <f>STDEV(C$5:C10)*SQRT(12)</f>
        <v>2.3851540830730409E-2</v>
      </c>
      <c r="Q10" s="82">
        <f t="shared" si="5"/>
        <v>1130.4095322504586</v>
      </c>
      <c r="R10" s="215"/>
      <c r="S10" s="216"/>
      <c r="T10" s="216"/>
      <c r="U10" s="216"/>
      <c r="V10" s="216"/>
      <c r="W10" s="216"/>
      <c r="X10" s="216"/>
      <c r="Y10" s="216"/>
      <c r="Z10" s="216"/>
      <c r="AA10" s="216"/>
      <c r="AB10" s="216"/>
      <c r="AC10" s="217"/>
      <c r="AD10" s="223"/>
      <c r="AE10" s="224"/>
      <c r="AF10" s="82">
        <f>MAX(F$4:F10)</f>
        <v>1047.94</v>
      </c>
      <c r="AG10" s="83">
        <f ca="1">MIN(INDIRECT("f"&amp;ROW(AG10)-AH10):F10)</f>
        <v>1040.19</v>
      </c>
      <c r="AH10" s="83">
        <f t="shared" si="6"/>
        <v>1</v>
      </c>
      <c r="AI10" s="98">
        <f t="shared" ca="1" si="7"/>
        <v>-7.3954615722273687E-3</v>
      </c>
      <c r="AJ10" s="99">
        <f t="shared" ca="1" si="8"/>
        <v>-7.3954615722273687E-3</v>
      </c>
      <c r="AK10" s="76">
        <f>MAX(G$4:G10)</f>
        <v>1085.03</v>
      </c>
      <c r="AL10" s="17">
        <f ca="1">MIN(INDIRECT("g"&amp;ROW(AL10)-AM10):G10)</f>
        <v>1085.03</v>
      </c>
      <c r="AM10" s="17">
        <f t="shared" si="9"/>
        <v>0</v>
      </c>
      <c r="AN10" s="100" t="str">
        <f t="shared" ca="1" si="10"/>
        <v/>
      </c>
      <c r="AO10" s="101">
        <f t="shared" ca="1" si="11"/>
        <v>1.9295625135041128E-2</v>
      </c>
      <c r="AP10" s="84">
        <v>38899</v>
      </c>
      <c r="AQ10" s="85">
        <v>-3.7100000000000001E-2</v>
      </c>
      <c r="AR10" s="85">
        <v>-5.9999999999999995E-4</v>
      </c>
      <c r="AS10" s="85">
        <f t="shared" si="3"/>
        <v>3.6499999999999998E-2</v>
      </c>
      <c r="AT10" s="87">
        <v>39022</v>
      </c>
      <c r="AU10" s="88">
        <v>2.75E-2</v>
      </c>
      <c r="AV10" s="88">
        <v>8.2000000000000007E-3</v>
      </c>
      <c r="AW10" s="88">
        <f t="shared" si="4"/>
        <v>-1.9299999999999998E-2</v>
      </c>
      <c r="AX10" s="89">
        <f t="shared" si="12"/>
        <v>-1.999999999999998E-2</v>
      </c>
      <c r="AY10" s="102">
        <f>COUNTIF($B$5:$B$400,"&lt;="&amp;AX10)-SUM($AY$5:AY9)</f>
        <v>4</v>
      </c>
      <c r="AZ10" s="102">
        <f>COUNTIF($C$5:$C$400,"&lt;="&amp;AX10)-SUM($AZ$5:AZ9)</f>
        <v>6</v>
      </c>
      <c r="BB10" s="39"/>
      <c r="BC10" s="39"/>
      <c r="BD10" s="105"/>
      <c r="BE10" s="39"/>
    </row>
    <row r="11" spans="1:57" ht="15">
      <c r="A11" s="94">
        <v>38869</v>
      </c>
      <c r="B11" s="73">
        <v>-3.0999999999999999E-3</v>
      </c>
      <c r="C11" s="74">
        <v>1.5E-3</v>
      </c>
      <c r="D11" s="74">
        <v>-0.2044</v>
      </c>
      <c r="E11" s="75">
        <v>0</v>
      </c>
      <c r="F11" s="76">
        <v>975.8</v>
      </c>
      <c r="G11" s="76">
        <v>1101.74</v>
      </c>
      <c r="H11" s="76">
        <v>1363.2</v>
      </c>
      <c r="I11" s="76">
        <v>1000</v>
      </c>
      <c r="J11" s="77">
        <v>0.32</v>
      </c>
      <c r="K11" s="77">
        <v>0.3</v>
      </c>
      <c r="L11" s="78">
        <f t="shared" si="0"/>
        <v>-0.3</v>
      </c>
      <c r="M11" s="95">
        <f t="shared" si="1"/>
        <v>0.62</v>
      </c>
      <c r="N11" s="95">
        <f t="shared" si="2"/>
        <v>2.0000000000000018E-2</v>
      </c>
      <c r="O11" s="80">
        <f>STDEV(B$5:B11)*SQRT(12)</f>
        <v>0.1167165553197758</v>
      </c>
      <c r="P11" s="80">
        <f>STDEV(C$5:C11)*SQRT(12)</f>
        <v>2.914750663190838E-2</v>
      </c>
      <c r="Q11" s="82">
        <f t="shared" si="5"/>
        <v>1158.4874464386153</v>
      </c>
      <c r="R11" s="215"/>
      <c r="S11" s="216"/>
      <c r="T11" s="216"/>
      <c r="U11" s="216"/>
      <c r="V11" s="216"/>
      <c r="W11" s="216"/>
      <c r="X11" s="216"/>
      <c r="Y11" s="216"/>
      <c r="Z11" s="216"/>
      <c r="AA11" s="216"/>
      <c r="AB11" s="216"/>
      <c r="AC11" s="217"/>
      <c r="AD11" s="223"/>
      <c r="AE11" s="224"/>
      <c r="AF11" s="82">
        <f>MAX(F$4:F11)</f>
        <v>1047.94</v>
      </c>
      <c r="AG11" s="83">
        <f ca="1">MIN(INDIRECT("f"&amp;ROW(AG11)-AH11):F11)</f>
        <v>975.8</v>
      </c>
      <c r="AH11" s="83">
        <f t="shared" si="6"/>
        <v>2</v>
      </c>
      <c r="AI11" s="98">
        <f t="shared" ca="1" si="7"/>
        <v>-6.8839819073611141E-2</v>
      </c>
      <c r="AJ11" s="99">
        <f t="shared" ca="1" si="8"/>
        <v>-6.1902152491371876E-2</v>
      </c>
      <c r="AK11" s="76">
        <f>MAX(G$4:G11)</f>
        <v>1101.74</v>
      </c>
      <c r="AL11" s="17">
        <f ca="1">MIN(INDIRECT("g"&amp;ROW(AL11)-AM11):G11)</f>
        <v>1101.74</v>
      </c>
      <c r="AM11" s="17">
        <f t="shared" si="9"/>
        <v>0</v>
      </c>
      <c r="AN11" s="100" t="str">
        <f t="shared" ca="1" si="10"/>
        <v/>
      </c>
      <c r="AO11" s="101">
        <f t="shared" ca="1" si="11"/>
        <v>1.5400495838824746E-2</v>
      </c>
      <c r="AP11" s="84">
        <v>39052</v>
      </c>
      <c r="AQ11" s="85">
        <v>-6.7999999999999996E-3</v>
      </c>
      <c r="AR11" s="85">
        <v>0.1198</v>
      </c>
      <c r="AS11" s="85">
        <f t="shared" si="3"/>
        <v>0.12659999999999999</v>
      </c>
      <c r="AT11" s="87">
        <v>39083</v>
      </c>
      <c r="AU11" s="88">
        <v>2.01E-2</v>
      </c>
      <c r="AV11" s="88">
        <v>-5.0000000000000001E-3</v>
      </c>
      <c r="AW11" s="88">
        <f t="shared" si="4"/>
        <v>-2.5100000000000001E-2</v>
      </c>
      <c r="AX11" s="89">
        <f t="shared" si="12"/>
        <v>0</v>
      </c>
      <c r="AY11" s="102">
        <f>COUNTIF($B$5:$B$400,"&lt;="&amp;AX11)-SUM($AY$5:AY10)</f>
        <v>7</v>
      </c>
      <c r="AZ11" s="102">
        <f>COUNTIF($C$5:$C$400,"&lt;="&amp;AX11)-SUM($AZ$5:AZ10)</f>
        <v>11</v>
      </c>
      <c r="BB11" s="107" t="s">
        <v>264</v>
      </c>
      <c r="BC11" s="108"/>
      <c r="BD11" s="105">
        <f>BE11/BC4</f>
        <v>5.99</v>
      </c>
      <c r="BE11" s="109">
        <f>MAX(ABS(MIN(C5:C63)),ABS(MAX(C5:C63)))</f>
        <v>0.1198</v>
      </c>
    </row>
    <row r="12" spans="1:57" ht="15">
      <c r="A12" s="94">
        <v>38899</v>
      </c>
      <c r="B12" s="73">
        <v>-3.7100000000000001E-2</v>
      </c>
      <c r="C12" s="74">
        <v>-5.9999999999999995E-4</v>
      </c>
      <c r="D12" s="74">
        <v>0.14299999999999999</v>
      </c>
      <c r="E12" s="75">
        <v>0</v>
      </c>
      <c r="F12" s="76">
        <v>972.78</v>
      </c>
      <c r="G12" s="76">
        <v>1103.3900000000001</v>
      </c>
      <c r="H12" s="76">
        <v>1084.56</v>
      </c>
      <c r="I12" s="76">
        <v>1000</v>
      </c>
      <c r="J12" s="77">
        <v>0.37</v>
      </c>
      <c r="K12" s="77">
        <v>0.37</v>
      </c>
      <c r="L12" s="78">
        <f t="shared" si="0"/>
        <v>-0.37</v>
      </c>
      <c r="M12" s="95">
        <f t="shared" si="1"/>
        <v>0.74</v>
      </c>
      <c r="N12" s="95">
        <f t="shared" si="2"/>
        <v>0</v>
      </c>
      <c r="O12" s="80">
        <f>STDEV(B$5:B12)*SQRT(12)</f>
        <v>0.11565401605033621</v>
      </c>
      <c r="P12" s="80">
        <f>STDEV(C$5:C12)*SQRT(12)</f>
        <v>3.2498230721071573E-2</v>
      </c>
      <c r="Q12" s="82">
        <f t="shared" si="5"/>
        <v>1160.835731803018</v>
      </c>
      <c r="R12" s="215"/>
      <c r="S12" s="216"/>
      <c r="T12" s="216"/>
      <c r="U12" s="216"/>
      <c r="V12" s="216"/>
      <c r="W12" s="216"/>
      <c r="X12" s="216"/>
      <c r="Y12" s="216"/>
      <c r="Z12" s="216"/>
      <c r="AA12" s="216"/>
      <c r="AB12" s="216"/>
      <c r="AC12" s="217"/>
      <c r="AD12" s="223"/>
      <c r="AE12" s="224"/>
      <c r="AF12" s="82">
        <f>MAX(F$4:F12)</f>
        <v>1047.94</v>
      </c>
      <c r="AG12" s="83">
        <f ca="1">MIN(INDIRECT("f"&amp;ROW(AG12)-AH12):F12)</f>
        <v>972.78</v>
      </c>
      <c r="AH12" s="83">
        <f t="shared" si="6"/>
        <v>3</v>
      </c>
      <c r="AI12" s="98">
        <f t="shared" ca="1" si="7"/>
        <v>-7.172166345401465E-2</v>
      </c>
      <c r="AJ12" s="99">
        <f t="shared" ca="1" si="8"/>
        <v>-3.0948964951834634E-3</v>
      </c>
      <c r="AK12" s="76">
        <f>MAX(G$4:G12)</f>
        <v>1103.3900000000001</v>
      </c>
      <c r="AL12" s="17">
        <f ca="1">MIN(INDIRECT("g"&amp;ROW(AL12)-AM12):G12)</f>
        <v>1103.3900000000001</v>
      </c>
      <c r="AM12" s="17">
        <f t="shared" si="9"/>
        <v>0</v>
      </c>
      <c r="AN12" s="100" t="str">
        <f t="shared" ca="1" si="10"/>
        <v/>
      </c>
      <c r="AO12" s="101">
        <f t="shared" ca="1" si="11"/>
        <v>1.4976310200229825E-3</v>
      </c>
      <c r="AP12" s="84">
        <v>39114</v>
      </c>
      <c r="AQ12" s="85">
        <v>-2.2800000000000001E-2</v>
      </c>
      <c r="AR12" s="85">
        <v>1.9E-2</v>
      </c>
      <c r="AS12" s="85">
        <f t="shared" si="3"/>
        <v>4.1800000000000004E-2</v>
      </c>
      <c r="AT12" s="87">
        <v>39142</v>
      </c>
      <c r="AU12" s="88">
        <v>2.3E-3</v>
      </c>
      <c r="AV12" s="88">
        <v>1.9699999999999999E-2</v>
      </c>
      <c r="AW12" s="88">
        <f t="shared" si="4"/>
        <v>1.7399999999999999E-2</v>
      </c>
      <c r="AX12" s="89">
        <f t="shared" si="12"/>
        <v>0.02</v>
      </c>
      <c r="AY12" s="102">
        <f>COUNTIF($B$5:$B$400,"&lt;="&amp;AX12)-SUM($AY$5:AY11)</f>
        <v>6</v>
      </c>
      <c r="AZ12" s="102">
        <f>COUNTIF($C$5:$C$400,"&lt;="&amp;AX12)-SUM($AZ$5:AZ11)</f>
        <v>26</v>
      </c>
      <c r="BB12" s="107" t="s">
        <v>265</v>
      </c>
      <c r="BC12" s="108"/>
      <c r="BD12" s="110">
        <f>IF(BD4&lt;=BD6,BD6,IF(BD8&gt;=BD4,BD7,BD8))</f>
        <v>4</v>
      </c>
      <c r="BE12" s="39" t="s">
        <v>25</v>
      </c>
    </row>
    <row r="13" spans="1:57" ht="15">
      <c r="A13" s="94">
        <v>38930</v>
      </c>
      <c r="B13" s="73">
        <v>4.41E-2</v>
      </c>
      <c r="C13" s="74">
        <v>7.4999999999999997E-3</v>
      </c>
      <c r="D13" s="74">
        <v>-0.17660000000000001</v>
      </c>
      <c r="E13" s="75">
        <v>0</v>
      </c>
      <c r="F13" s="76">
        <v>936.69</v>
      </c>
      <c r="G13" s="76">
        <v>1102.73</v>
      </c>
      <c r="H13" s="76">
        <v>1239.6600000000001</v>
      </c>
      <c r="I13" s="76">
        <v>1000</v>
      </c>
      <c r="J13" s="77">
        <v>0.45</v>
      </c>
      <c r="K13" s="77">
        <v>0.5</v>
      </c>
      <c r="L13" s="78">
        <f t="shared" si="0"/>
        <v>-0.5</v>
      </c>
      <c r="M13" s="95">
        <f t="shared" si="1"/>
        <v>0.95</v>
      </c>
      <c r="N13" s="95">
        <f t="shared" si="2"/>
        <v>-4.9999999999999989E-2</v>
      </c>
      <c r="O13" s="80">
        <f>STDEV(B$5:B13)*SQRT(12)</f>
        <v>0.12359053361807286</v>
      </c>
      <c r="P13" s="80">
        <f>STDEV(C$5:C13)*SQRT(12)</f>
        <v>3.0908251325495604E-2</v>
      </c>
      <c r="Q13" s="82">
        <f t="shared" si="5"/>
        <v>1160.1025723934581</v>
      </c>
      <c r="R13" s="215"/>
      <c r="S13" s="216"/>
      <c r="T13" s="216"/>
      <c r="U13" s="216"/>
      <c r="V13" s="216"/>
      <c r="W13" s="216"/>
      <c r="X13" s="216"/>
      <c r="Y13" s="216"/>
      <c r="Z13" s="216"/>
      <c r="AA13" s="216"/>
      <c r="AB13" s="216"/>
      <c r="AC13" s="217"/>
      <c r="AD13" s="223"/>
      <c r="AE13" s="224"/>
      <c r="AF13" s="82">
        <f>MAX(F$4:F13)</f>
        <v>1047.94</v>
      </c>
      <c r="AG13" s="83">
        <f ca="1">MIN(INDIRECT("f"&amp;ROW(AG13)-AH13):F13)</f>
        <v>936.69</v>
      </c>
      <c r="AH13" s="83">
        <f t="shared" si="6"/>
        <v>4</v>
      </c>
      <c r="AI13" s="98">
        <f t="shared" ca="1" si="7"/>
        <v>-0.10616065805294195</v>
      </c>
      <c r="AJ13" s="99">
        <f t="shared" ca="1" si="8"/>
        <v>-3.7099858138530672E-2</v>
      </c>
      <c r="AK13" s="76">
        <f>MAX(G$4:G13)</f>
        <v>1103.3900000000001</v>
      </c>
      <c r="AL13" s="17">
        <f ca="1">MIN(INDIRECT("g"&amp;ROW(AL13)-AM13):G13)</f>
        <v>1102.73</v>
      </c>
      <c r="AM13" s="17">
        <f t="shared" si="9"/>
        <v>1</v>
      </c>
      <c r="AN13" s="100">
        <f t="shared" ca="1" si="10"/>
        <v>-5.9815659014494926E-4</v>
      </c>
      <c r="AO13" s="101">
        <f t="shared" ca="1" si="11"/>
        <v>-5.9815659014494926E-4</v>
      </c>
      <c r="AP13" s="84">
        <v>39234</v>
      </c>
      <c r="AQ13" s="85">
        <v>-5.0000000000000001E-4</v>
      </c>
      <c r="AR13" s="85">
        <v>2.8000000000000001E-2</v>
      </c>
      <c r="AS13" s="85">
        <f t="shared" si="3"/>
        <v>2.8500000000000001E-2</v>
      </c>
      <c r="AT13" s="87">
        <v>39173</v>
      </c>
      <c r="AU13" s="88">
        <v>4.2700000000000002E-2</v>
      </c>
      <c r="AV13" s="88">
        <v>2E-3</v>
      </c>
      <c r="AW13" s="88">
        <f t="shared" si="4"/>
        <v>-4.07E-2</v>
      </c>
      <c r="AX13" s="89">
        <f t="shared" si="12"/>
        <v>0.04</v>
      </c>
      <c r="AY13" s="102">
        <f>COUNTIF($B$5:$B$400,"&lt;="&amp;AX13)-SUM($AY$5:AY12)</f>
        <v>9</v>
      </c>
      <c r="AZ13" s="102">
        <f>COUNTIF($C$5:$C$400,"&lt;="&amp;AX13)-SUM($AZ$5:AZ12)</f>
        <v>11</v>
      </c>
    </row>
    <row r="14" spans="1:57" ht="15">
      <c r="A14" s="94">
        <v>38961</v>
      </c>
      <c r="B14" s="73">
        <v>3.4200000000000001E-2</v>
      </c>
      <c r="C14" s="74">
        <v>2.9899999999999999E-2</v>
      </c>
      <c r="D14" s="74">
        <v>-2.6800000000000001E-2</v>
      </c>
      <c r="E14" s="75">
        <v>0</v>
      </c>
      <c r="F14" s="76">
        <v>977.99</v>
      </c>
      <c r="G14" s="76">
        <v>1111</v>
      </c>
      <c r="H14" s="76">
        <v>1020.73</v>
      </c>
      <c r="I14" s="76">
        <v>1000</v>
      </c>
      <c r="J14" s="77">
        <v>0.6</v>
      </c>
      <c r="K14" s="77">
        <v>0.59</v>
      </c>
      <c r="L14" s="78">
        <f t="shared" si="0"/>
        <v>-0.59</v>
      </c>
      <c r="M14" s="95">
        <f t="shared" si="1"/>
        <v>1.19</v>
      </c>
      <c r="N14" s="95">
        <f t="shared" si="2"/>
        <v>1.0000000000000009E-2</v>
      </c>
      <c r="O14" s="80">
        <f>STDEV(B$5:B14)*SQRT(12)</f>
        <v>0.12304995733440952</v>
      </c>
      <c r="P14" s="80">
        <f>STDEV(C$5:C14)*SQRT(12)</f>
        <v>3.5246352057104205E-2</v>
      </c>
      <c r="Q14" s="82">
        <f t="shared" si="5"/>
        <v>1167.4141432278707</v>
      </c>
      <c r="R14" s="215"/>
      <c r="S14" s="216"/>
      <c r="T14" s="216"/>
      <c r="U14" s="216"/>
      <c r="V14" s="216"/>
      <c r="W14" s="216"/>
      <c r="X14" s="216"/>
      <c r="Y14" s="216"/>
      <c r="Z14" s="216"/>
      <c r="AA14" s="216"/>
      <c r="AB14" s="216"/>
      <c r="AC14" s="217"/>
      <c r="AD14" s="223"/>
      <c r="AE14" s="224"/>
      <c r="AF14" s="82">
        <f>MAX(F$4:F14)</f>
        <v>1047.94</v>
      </c>
      <c r="AG14" s="83">
        <f ca="1">MIN(INDIRECT("f"&amp;ROW(AG14)-AH14):F14)</f>
        <v>936.69</v>
      </c>
      <c r="AH14" s="83">
        <f t="shared" si="6"/>
        <v>5</v>
      </c>
      <c r="AI14" s="98" t="str">
        <f t="shared" ca="1" si="7"/>
        <v/>
      </c>
      <c r="AJ14" s="99">
        <f t="shared" ca="1" si="8"/>
        <v>0</v>
      </c>
      <c r="AK14" s="76">
        <f>MAX(G$4:G14)</f>
        <v>1111</v>
      </c>
      <c r="AL14" s="17">
        <f ca="1">MIN(INDIRECT("g"&amp;ROW(AL14)-AM14):G14)</f>
        <v>1111</v>
      </c>
      <c r="AM14" s="17">
        <f t="shared" si="9"/>
        <v>0</v>
      </c>
      <c r="AN14" s="100" t="str">
        <f t="shared" ca="1" si="10"/>
        <v/>
      </c>
      <c r="AO14" s="101">
        <f t="shared" ca="1" si="11"/>
        <v>7.4995692508592615E-3</v>
      </c>
      <c r="AP14" s="84">
        <v>39264</v>
      </c>
      <c r="AQ14" s="85">
        <v>-2.1899999999999999E-2</v>
      </c>
      <c r="AR14" s="85">
        <v>3.3000000000000002E-2</v>
      </c>
      <c r="AS14" s="85">
        <f t="shared" si="3"/>
        <v>5.4900000000000004E-2</v>
      </c>
      <c r="AT14" s="87">
        <v>39203</v>
      </c>
      <c r="AU14" s="88">
        <v>3.15E-2</v>
      </c>
      <c r="AV14" s="88">
        <v>-7.0000000000000001E-3</v>
      </c>
      <c r="AW14" s="88">
        <f t="shared" si="4"/>
        <v>-3.85E-2</v>
      </c>
      <c r="AX14" s="89">
        <f t="shared" si="12"/>
        <v>0.06</v>
      </c>
      <c r="AY14" s="102">
        <f>COUNTIF($B$5:$B$400,"&lt;="&amp;AX14)-SUM($AY$5:AY13)</f>
        <v>13</v>
      </c>
      <c r="AZ14" s="102">
        <f>COUNTIF($C$5:$C$400,"&lt;="&amp;AX14)-SUM($AZ$5:AZ13)</f>
        <v>4</v>
      </c>
    </row>
    <row r="15" spans="1:57" ht="15">
      <c r="A15" s="94">
        <v>38991</v>
      </c>
      <c r="B15" s="73">
        <v>4.7899999999999998E-2</v>
      </c>
      <c r="C15" s="74">
        <v>-3.3999999999999998E-3</v>
      </c>
      <c r="D15" s="74">
        <v>-7.3499999999999996E-2</v>
      </c>
      <c r="E15" s="75">
        <v>0</v>
      </c>
      <c r="F15" s="76">
        <v>1011.44</v>
      </c>
      <c r="G15" s="76">
        <v>1144.22</v>
      </c>
      <c r="H15" s="76">
        <v>993.38</v>
      </c>
      <c r="I15" s="76">
        <v>1000</v>
      </c>
      <c r="J15" s="77">
        <v>0.56000000000000005</v>
      </c>
      <c r="K15" s="77">
        <v>0.54</v>
      </c>
      <c r="L15" s="78">
        <f t="shared" si="0"/>
        <v>-0.54</v>
      </c>
      <c r="M15" s="95">
        <f t="shared" si="1"/>
        <v>1.1000000000000001</v>
      </c>
      <c r="N15" s="95">
        <f t="shared" si="2"/>
        <v>2.0000000000000018E-2</v>
      </c>
      <c r="O15" s="80">
        <f>STDEV(B$5:B15)*SQRT(12)</f>
        <v>0.12631165785109033</v>
      </c>
      <c r="P15" s="80">
        <f>STDEV(C$5:C15)*SQRT(12)</f>
        <v>3.7864476035653058E-2</v>
      </c>
      <c r="Q15" s="82">
        <f t="shared" si="5"/>
        <v>1199.1465822119737</v>
      </c>
      <c r="R15" s="215"/>
      <c r="S15" s="216"/>
      <c r="T15" s="216"/>
      <c r="U15" s="216"/>
      <c r="V15" s="216"/>
      <c r="W15" s="216"/>
      <c r="X15" s="216"/>
      <c r="Y15" s="216"/>
      <c r="Z15" s="216"/>
      <c r="AA15" s="216"/>
      <c r="AB15" s="216"/>
      <c r="AC15" s="217"/>
      <c r="AD15" s="223"/>
      <c r="AE15" s="224"/>
      <c r="AF15" s="82">
        <f>MAX(F$4:F15)</f>
        <v>1047.94</v>
      </c>
      <c r="AG15" s="83">
        <f ca="1">MIN(INDIRECT("f"&amp;ROW(AG15)-AH15):F15)</f>
        <v>936.69</v>
      </c>
      <c r="AH15" s="83">
        <f t="shared" si="6"/>
        <v>6</v>
      </c>
      <c r="AI15" s="98" t="str">
        <f t="shared" ca="1" si="7"/>
        <v/>
      </c>
      <c r="AJ15" s="99">
        <f t="shared" ca="1" si="8"/>
        <v>0</v>
      </c>
      <c r="AK15" s="76">
        <f>MAX(G$4:G15)</f>
        <v>1144.22</v>
      </c>
      <c r="AL15" s="17">
        <f ca="1">MIN(INDIRECT("g"&amp;ROW(AL15)-AM15):G15)</f>
        <v>1144.22</v>
      </c>
      <c r="AM15" s="17">
        <f t="shared" si="9"/>
        <v>0</v>
      </c>
      <c r="AN15" s="100" t="str">
        <f t="shared" ca="1" si="10"/>
        <v/>
      </c>
      <c r="AO15" s="101">
        <f t="shared" ca="1" si="11"/>
        <v>2.9900990099009928E-2</v>
      </c>
      <c r="AP15" s="84">
        <v>39387</v>
      </c>
      <c r="AQ15" s="85">
        <v>-6.93E-2</v>
      </c>
      <c r="AR15" s="85">
        <v>3.9E-2</v>
      </c>
      <c r="AS15" s="85">
        <f t="shared" si="3"/>
        <v>0.10830000000000001</v>
      </c>
      <c r="AT15" s="87">
        <v>39295</v>
      </c>
      <c r="AU15" s="88">
        <v>1.9699999999999999E-2</v>
      </c>
      <c r="AV15" s="88">
        <v>5.0000000000000001E-3</v>
      </c>
      <c r="AW15" s="88">
        <f t="shared" si="4"/>
        <v>-1.4699999999999998E-2</v>
      </c>
      <c r="AX15" s="89">
        <f t="shared" si="12"/>
        <v>0.08</v>
      </c>
      <c r="AY15" s="102">
        <f>COUNTIF($B$5:$B$400,"&lt;="&amp;AX15)-SUM($AY$5:AY14)</f>
        <v>3</v>
      </c>
      <c r="AZ15" s="102">
        <f>COUNTIF($C$5:$C$400,"&lt;="&amp;AX15)-SUM($AZ$5:AZ14)</f>
        <v>0</v>
      </c>
    </row>
    <row r="16" spans="1:57" ht="15">
      <c r="A16" s="94">
        <v>39022</v>
      </c>
      <c r="B16" s="73">
        <v>2.75E-2</v>
      </c>
      <c r="C16" s="74">
        <v>8.2000000000000007E-3</v>
      </c>
      <c r="D16" s="74">
        <v>-1.8E-3</v>
      </c>
      <c r="E16" s="75">
        <v>0</v>
      </c>
      <c r="F16" s="76">
        <v>1059.8900000000001</v>
      </c>
      <c r="G16" s="76">
        <v>1140.33</v>
      </c>
      <c r="H16" s="76">
        <v>920.36</v>
      </c>
      <c r="I16" s="76">
        <v>1000</v>
      </c>
      <c r="J16" s="77">
        <v>0.48</v>
      </c>
      <c r="K16" s="77">
        <v>0.46</v>
      </c>
      <c r="L16" s="78">
        <f t="shared" si="0"/>
        <v>-0.46</v>
      </c>
      <c r="M16" s="95">
        <f t="shared" si="1"/>
        <v>0.94</v>
      </c>
      <c r="N16" s="95">
        <f t="shared" si="2"/>
        <v>1.9999999999999962E-2</v>
      </c>
      <c r="O16" s="80">
        <f>STDEV(B$5:B16)*SQRT(12)</f>
        <v>0.12235350795580366</v>
      </c>
      <c r="P16" s="80">
        <f>STDEV(C$5:C16)*SQRT(12)</f>
        <v>3.6308513902639714E-2</v>
      </c>
      <c r="Q16" s="82">
        <f t="shared" si="5"/>
        <v>1194.8092435103558</v>
      </c>
      <c r="R16" s="218"/>
      <c r="S16" s="219"/>
      <c r="T16" s="219"/>
      <c r="U16" s="219"/>
      <c r="V16" s="219"/>
      <c r="W16" s="219"/>
      <c r="X16" s="219"/>
      <c r="Y16" s="219"/>
      <c r="Z16" s="219"/>
      <c r="AA16" s="219"/>
      <c r="AB16" s="219"/>
      <c r="AC16" s="220"/>
      <c r="AD16" s="225"/>
      <c r="AE16" s="226"/>
      <c r="AF16" s="82">
        <f>MAX(F$4:F16)</f>
        <v>1059.8900000000001</v>
      </c>
      <c r="AG16" s="83">
        <f ca="1">MIN(INDIRECT("f"&amp;ROW(AG16)-AH16):F16)</f>
        <v>1059.8900000000001</v>
      </c>
      <c r="AH16" s="83">
        <f t="shared" si="6"/>
        <v>0</v>
      </c>
      <c r="AI16" s="98" t="str">
        <f t="shared" ca="1" si="7"/>
        <v/>
      </c>
      <c r="AJ16" s="99">
        <f t="shared" ca="1" si="8"/>
        <v>0.13152697263769242</v>
      </c>
      <c r="AK16" s="76">
        <f>MAX(G$4:G16)</f>
        <v>1144.22</v>
      </c>
      <c r="AL16" s="17">
        <f ca="1">MIN(INDIRECT("g"&amp;ROW(AL16)-AM16):G16)</f>
        <v>1140.33</v>
      </c>
      <c r="AM16" s="17">
        <f t="shared" si="9"/>
        <v>1</v>
      </c>
      <c r="AN16" s="100">
        <f t="shared" ca="1" si="10"/>
        <v>-3.3996958626838492E-3</v>
      </c>
      <c r="AO16" s="101">
        <f t="shared" ca="1" si="11"/>
        <v>-3.3996958626838492E-3</v>
      </c>
      <c r="AP16" s="84">
        <v>39417</v>
      </c>
      <c r="AQ16" s="85">
        <v>-3.3E-3</v>
      </c>
      <c r="AR16" s="85">
        <v>0.05</v>
      </c>
      <c r="AS16" s="85">
        <f t="shared" si="3"/>
        <v>5.33E-2</v>
      </c>
      <c r="AT16" s="87">
        <v>39326</v>
      </c>
      <c r="AU16" s="88">
        <v>4.0500000000000001E-2</v>
      </c>
      <c r="AV16" s="88">
        <v>1.4E-2</v>
      </c>
      <c r="AW16" s="88">
        <f t="shared" si="4"/>
        <v>-2.6500000000000003E-2</v>
      </c>
      <c r="AX16" s="89">
        <f t="shared" si="12"/>
        <v>0.1</v>
      </c>
      <c r="AY16" s="102">
        <f>COUNTIF($B$5:$B$400,"&lt;="&amp;AX16)-SUM($AY$5:AY15)</f>
        <v>0</v>
      </c>
      <c r="AZ16" s="102">
        <f>COUNTIF($C$5:$C$400,"&lt;="&amp;AX16)-SUM($AZ$5:AZ15)</f>
        <v>0</v>
      </c>
    </row>
    <row r="17" spans="1:52" ht="17.649999999999999">
      <c r="A17" s="94">
        <v>39052</v>
      </c>
      <c r="B17" s="73">
        <v>-6.7999999999999996E-3</v>
      </c>
      <c r="C17" s="74">
        <v>0.1198</v>
      </c>
      <c r="D17" s="74">
        <v>5.96E-2</v>
      </c>
      <c r="E17" s="75">
        <v>0</v>
      </c>
      <c r="F17" s="76">
        <v>1089.04</v>
      </c>
      <c r="G17" s="76">
        <v>1149.68</v>
      </c>
      <c r="H17" s="76">
        <v>918.71</v>
      </c>
      <c r="I17" s="76">
        <v>1000</v>
      </c>
      <c r="J17" s="77">
        <v>0.49</v>
      </c>
      <c r="K17" s="77">
        <v>0.46</v>
      </c>
      <c r="L17" s="78">
        <f t="shared" si="0"/>
        <v>-0.46</v>
      </c>
      <c r="M17" s="95">
        <f t="shared" si="1"/>
        <v>0.95</v>
      </c>
      <c r="N17" s="95">
        <f t="shared" si="2"/>
        <v>2.9999999999999971E-2</v>
      </c>
      <c r="O17" s="80">
        <f>STDEV(B$5:B17)*SQRT(12)</f>
        <v>0.11797096774532805</v>
      </c>
      <c r="P17" s="80">
        <f>STDEV(C$5:C17)*SQRT(12)</f>
        <v>0.1094844843240005</v>
      </c>
      <c r="Q17" s="82">
        <f t="shared" si="5"/>
        <v>1205.122333822761</v>
      </c>
      <c r="R17" s="111">
        <f t="shared" ref="R17:R63" si="13">F17/F5-1</f>
        <v>8.9040000000000008E-2</v>
      </c>
      <c r="S17" s="111">
        <f t="shared" ref="S17:S63" si="14">G17/G5-1</f>
        <v>0.14968000000000004</v>
      </c>
      <c r="T17" s="111">
        <f t="shared" ref="T17:T63" si="15">S17-R17</f>
        <v>6.0640000000000027E-2</v>
      </c>
      <c r="U17" s="112">
        <f>AVERAGE($N$5:$N17)</f>
        <v>6.153846153846153E-3</v>
      </c>
      <c r="V17" s="111">
        <f t="shared" ref="V17:V63" si="16">(N17-U17)*R17</f>
        <v>2.1232615384615362E-3</v>
      </c>
      <c r="W17" s="112">
        <f t="shared" ref="W17:W63" si="17">R17*U17</f>
        <v>5.4793846153846151E-4</v>
      </c>
      <c r="X17" s="112">
        <f t="shared" ref="X17:X63" si="18">S17-(V17+W17)</f>
        <v>0.14700880000000005</v>
      </c>
      <c r="Y17" s="111">
        <f t="shared" ref="Y17:Y63" si="19">ABS(V17)+ABS(W17)+ABS(X17)</f>
        <v>0.14968000000000004</v>
      </c>
      <c r="Z17" s="113">
        <f t="shared" ref="Z17:Z63" si="20">(V17/Y17)*100</f>
        <v>1.4185338979566646</v>
      </c>
      <c r="AA17" s="113">
        <f t="shared" ref="AA17:AA63" si="21">(W17/Y17)*100</f>
        <v>0.36607326398881707</v>
      </c>
      <c r="AB17" s="113">
        <f t="shared" ref="AB17:AB63" si="22">(X17/Y17)*100</f>
        <v>98.215392838054527</v>
      </c>
      <c r="AC17" s="114">
        <f t="shared" ref="AC17:AC63" si="23">ABS(AB17)+ABS(AA17)+ABS(Z17)</f>
        <v>100.00000000000001</v>
      </c>
      <c r="AD17" s="111">
        <f t="shared" ref="AD17:AD63" si="24">F17/F5^(12/$AE$2)-1</f>
        <v>8.9040000000000008E-2</v>
      </c>
      <c r="AE17" s="111">
        <f t="shared" ref="AE17:AE63" si="25">G17/G5^(12/$AE$2)-1</f>
        <v>0.14968000000000004</v>
      </c>
      <c r="AF17" s="82">
        <f>MAX(F$4:F17)</f>
        <v>1089.04</v>
      </c>
      <c r="AG17" s="83">
        <f ca="1">MIN(INDIRECT("f"&amp;ROW(AG17)-AH17):F17)</f>
        <v>1089.04</v>
      </c>
      <c r="AH17" s="83">
        <f t="shared" si="6"/>
        <v>0</v>
      </c>
      <c r="AI17" s="98" t="str">
        <f t="shared" ca="1" si="7"/>
        <v/>
      </c>
      <c r="AJ17" s="99">
        <f t="shared" ca="1" si="8"/>
        <v>2.7502854069761717E-2</v>
      </c>
      <c r="AK17" s="76">
        <f>MAX(G$4:G17)</f>
        <v>1149.68</v>
      </c>
      <c r="AL17" s="17">
        <f ca="1">MIN(INDIRECT("g"&amp;ROW(AL17)-AM17):G17)</f>
        <v>1149.68</v>
      </c>
      <c r="AM17" s="17">
        <f t="shared" si="9"/>
        <v>0</v>
      </c>
      <c r="AN17" s="100" t="str">
        <f t="shared" ca="1" si="10"/>
        <v/>
      </c>
      <c r="AO17" s="101">
        <f t="shared" ca="1" si="11"/>
        <v>8.1993808809732727E-3</v>
      </c>
      <c r="AP17" s="84">
        <v>39448</v>
      </c>
      <c r="AQ17" s="85">
        <v>-9.8900000000000002E-2</v>
      </c>
      <c r="AR17" s="85">
        <v>1.0999999999999999E-2</v>
      </c>
      <c r="AS17" s="85">
        <f t="shared" si="3"/>
        <v>0.1099</v>
      </c>
      <c r="AT17" s="87">
        <v>39356</v>
      </c>
      <c r="AU17" s="88">
        <v>5.8299999999999998E-2</v>
      </c>
      <c r="AV17" s="88">
        <v>-3.6700000000000003E-2</v>
      </c>
      <c r="AW17" s="88">
        <f t="shared" si="4"/>
        <v>-9.5000000000000001E-2</v>
      </c>
      <c r="AX17" s="89">
        <f t="shared" si="12"/>
        <v>0.12000000000000001</v>
      </c>
      <c r="AY17" s="102">
        <f>COUNTIF($B$5:$B$400,"&lt;="&amp;AX17)-SUM($AY$5:AY16)</f>
        <v>1</v>
      </c>
      <c r="AZ17" s="102">
        <f>COUNTIF($C$5:$C$400,"&lt;="&amp;AX17)-SUM($AZ$5:AZ16)</f>
        <v>1</v>
      </c>
    </row>
    <row r="18" spans="1:52" ht="15">
      <c r="A18" s="94">
        <v>39083</v>
      </c>
      <c r="B18" s="73">
        <v>2.01E-2</v>
      </c>
      <c r="C18" s="74">
        <v>-5.0000000000000001E-3</v>
      </c>
      <c r="D18" s="74">
        <v>-9.8599999999999993E-2</v>
      </c>
      <c r="E18" s="75">
        <v>0</v>
      </c>
      <c r="F18" s="76">
        <v>1081.6300000000001</v>
      </c>
      <c r="G18" s="76">
        <v>1287.42</v>
      </c>
      <c r="H18" s="76">
        <v>973.46</v>
      </c>
      <c r="I18" s="76">
        <v>1000</v>
      </c>
      <c r="J18" s="77">
        <v>0.49</v>
      </c>
      <c r="K18" s="77">
        <v>0.47</v>
      </c>
      <c r="L18" s="78">
        <f t="shared" si="0"/>
        <v>-0.47</v>
      </c>
      <c r="M18" s="95">
        <f t="shared" si="1"/>
        <v>0.96</v>
      </c>
      <c r="N18" s="95">
        <f t="shared" si="2"/>
        <v>2.0000000000000018E-2</v>
      </c>
      <c r="O18" s="80">
        <f>STDEV(B$5:B18)*SQRT(12)</f>
        <v>0.11403066100111692</v>
      </c>
      <c r="P18" s="80">
        <f>STDEV(C$5:C18)*SQRT(12)</f>
        <v>0.10771634606126969</v>
      </c>
      <c r="Q18" s="82">
        <f t="shared" si="5"/>
        <v>1355.5115583977263</v>
      </c>
      <c r="R18" s="100">
        <f t="shared" si="13"/>
        <v>-2.0950997266376428</v>
      </c>
      <c r="S18" s="100">
        <f t="shared" si="14"/>
        <v>0.27114928909952618</v>
      </c>
      <c r="T18" s="100">
        <f t="shared" si="15"/>
        <v>2.3662490157371687</v>
      </c>
      <c r="U18" s="88">
        <f>AVERAGE($N$5:$N18)</f>
        <v>7.1428571428571435E-3</v>
      </c>
      <c r="V18" s="98">
        <f t="shared" si="16"/>
        <v>-2.6936996485341157E-2</v>
      </c>
      <c r="W18" s="85">
        <f t="shared" si="17"/>
        <v>-1.4964998047411736E-2</v>
      </c>
      <c r="X18" s="85">
        <f t="shared" si="18"/>
        <v>0.31305128363227908</v>
      </c>
      <c r="Y18" s="100">
        <f t="shared" si="19"/>
        <v>0.35495327816503197</v>
      </c>
      <c r="Z18" s="115">
        <f t="shared" si="20"/>
        <v>-7.5888851131604627</v>
      </c>
      <c r="AA18" s="115">
        <f t="shared" si="21"/>
        <v>-4.2160472850891413</v>
      </c>
      <c r="AB18" s="115">
        <f t="shared" si="22"/>
        <v>88.195067601750395</v>
      </c>
      <c r="AC18" s="83">
        <f t="shared" si="23"/>
        <v>100</v>
      </c>
      <c r="AD18" s="100">
        <f t="shared" si="24"/>
        <v>-2.0950997266376428</v>
      </c>
      <c r="AE18" s="100">
        <f t="shared" si="25"/>
        <v>0.27114928909952618</v>
      </c>
      <c r="AF18" s="82">
        <f>MAX(F$4:F18)</f>
        <v>1089.04</v>
      </c>
      <c r="AG18" s="83">
        <f ca="1">MIN(INDIRECT("f"&amp;ROW(AG18)-AH18):F18)</f>
        <v>1081.6300000000001</v>
      </c>
      <c r="AH18" s="83">
        <f t="shared" si="6"/>
        <v>1</v>
      </c>
      <c r="AI18" s="98">
        <f t="shared" ca="1" si="7"/>
        <v>-6.804157790347376E-3</v>
      </c>
      <c r="AJ18" s="99">
        <f t="shared" ca="1" si="8"/>
        <v>-6.804157790347376E-3</v>
      </c>
      <c r="AK18" s="76">
        <f>MAX(G$4:G18)</f>
        <v>1287.42</v>
      </c>
      <c r="AL18" s="17">
        <f ca="1">MIN(INDIRECT("g"&amp;ROW(AL18)-AM18):G18)</f>
        <v>1287.42</v>
      </c>
      <c r="AM18" s="17">
        <f t="shared" si="9"/>
        <v>0</v>
      </c>
      <c r="AN18" s="100" t="str">
        <f t="shared" ca="1" si="10"/>
        <v/>
      </c>
      <c r="AO18" s="101">
        <f t="shared" ca="1" si="11"/>
        <v>0.11980725071324194</v>
      </c>
      <c r="AP18" s="84">
        <v>39479</v>
      </c>
      <c r="AQ18" s="85">
        <v>-4.9500000000000002E-2</v>
      </c>
      <c r="AR18" s="85">
        <v>2E-3</v>
      </c>
      <c r="AS18" s="85">
        <f t="shared" si="3"/>
        <v>5.1500000000000004E-2</v>
      </c>
      <c r="AT18" s="87">
        <v>39508</v>
      </c>
      <c r="AU18" s="88">
        <v>3.3999999999999998E-3</v>
      </c>
      <c r="AV18" s="88">
        <v>-3.1E-2</v>
      </c>
      <c r="AW18" s="88">
        <f t="shared" si="4"/>
        <v>-3.44E-2</v>
      </c>
      <c r="AX18" s="89">
        <f t="shared" si="12"/>
        <v>0.14000000000000001</v>
      </c>
      <c r="AY18" s="102">
        <f>COUNTIF($B$5:$B$400,"&lt;="&amp;AX18)-SUM($AY$5:AY17)</f>
        <v>2</v>
      </c>
      <c r="AZ18" s="102">
        <f>COUNTIF($C$5:$C$400,"&lt;="&amp;AX18)-SUM($AZ$5:AZ17)</f>
        <v>0</v>
      </c>
    </row>
    <row r="19" spans="1:52" ht="15">
      <c r="A19" s="94">
        <v>39114</v>
      </c>
      <c r="B19" s="73">
        <v>-2.2800000000000001E-2</v>
      </c>
      <c r="C19" s="74">
        <v>1.9E-2</v>
      </c>
      <c r="D19" s="74">
        <v>0.7742</v>
      </c>
      <c r="E19" s="75">
        <v>0</v>
      </c>
      <c r="F19" s="76">
        <v>1103.3699999999999</v>
      </c>
      <c r="G19" s="76">
        <v>1280.98</v>
      </c>
      <c r="H19" s="76">
        <v>877.48</v>
      </c>
      <c r="I19" s="76">
        <v>1000</v>
      </c>
      <c r="J19" s="77">
        <v>0.5</v>
      </c>
      <c r="K19" s="77">
        <v>0.47</v>
      </c>
      <c r="L19" s="78">
        <f t="shared" si="0"/>
        <v>-0.47</v>
      </c>
      <c r="M19" s="95">
        <f t="shared" si="1"/>
        <v>0.97</v>
      </c>
      <c r="N19" s="95">
        <f t="shared" si="2"/>
        <v>3.0000000000000027E-2</v>
      </c>
      <c r="O19" s="80">
        <f>STDEV(B$5:B19)*SQRT(12)</f>
        <v>0.11318768231822501</v>
      </c>
      <c r="P19" s="80">
        <f>STDEV(C$5:C19)*SQRT(12)</f>
        <v>0.10380015414246743</v>
      </c>
      <c r="Q19" s="82">
        <f t="shared" si="5"/>
        <v>1348.5243854162948</v>
      </c>
      <c r="R19" s="100">
        <f t="shared" si="13"/>
        <v>6.840122781365876E-2</v>
      </c>
      <c r="S19" s="100">
        <f t="shared" si="14"/>
        <v>0.25202075982524219</v>
      </c>
      <c r="T19" s="100">
        <f t="shared" si="15"/>
        <v>0.18361953201158343</v>
      </c>
      <c r="U19" s="88">
        <f>AVERAGE($N$5:$N19)</f>
        <v>8.666666666666668E-3</v>
      </c>
      <c r="V19" s="98">
        <f t="shared" si="16"/>
        <v>1.4592261933580551E-3</v>
      </c>
      <c r="W19" s="85">
        <f t="shared" si="17"/>
        <v>5.9281064105170937E-4</v>
      </c>
      <c r="X19" s="85">
        <f t="shared" si="18"/>
        <v>0.24996872299083242</v>
      </c>
      <c r="Y19" s="100">
        <f t="shared" si="19"/>
        <v>0.25202075982524219</v>
      </c>
      <c r="Z19" s="115">
        <f t="shared" si="20"/>
        <v>0.57901031421773386</v>
      </c>
      <c r="AA19" s="115">
        <f t="shared" si="21"/>
        <v>0.23522294015095419</v>
      </c>
      <c r="AB19" s="115">
        <f t="shared" si="22"/>
        <v>99.185766745631312</v>
      </c>
      <c r="AC19" s="83">
        <f t="shared" si="23"/>
        <v>100</v>
      </c>
      <c r="AD19" s="100">
        <f t="shared" si="24"/>
        <v>6.840122781365876E-2</v>
      </c>
      <c r="AE19" s="100">
        <f t="shared" si="25"/>
        <v>0.25202075982524219</v>
      </c>
      <c r="AF19" s="82">
        <f>MAX(F$4:F19)</f>
        <v>1103.3699999999999</v>
      </c>
      <c r="AG19" s="83">
        <f ca="1">MIN(INDIRECT("f"&amp;ROW(AG19)-AH19):F19)</f>
        <v>1103.3699999999999</v>
      </c>
      <c r="AH19" s="83">
        <f t="shared" si="6"/>
        <v>0</v>
      </c>
      <c r="AI19" s="98" t="str">
        <f t="shared" ca="1" si="7"/>
        <v/>
      </c>
      <c r="AJ19" s="99">
        <f t="shared" ca="1" si="8"/>
        <v>2.0099294583175276E-2</v>
      </c>
      <c r="AK19" s="76">
        <f>MAX(G$4:G19)</f>
        <v>1287.42</v>
      </c>
      <c r="AL19" s="17">
        <f ca="1">MIN(INDIRECT("g"&amp;ROW(AL19)-AM19):G19)</f>
        <v>1280.98</v>
      </c>
      <c r="AM19" s="17">
        <f t="shared" si="9"/>
        <v>1</v>
      </c>
      <c r="AN19" s="100">
        <f t="shared" ca="1" si="10"/>
        <v>-5.0022525671498119E-3</v>
      </c>
      <c r="AO19" s="101">
        <f t="shared" ca="1" si="11"/>
        <v>-5.0022525671498119E-3</v>
      </c>
      <c r="AP19" s="84">
        <v>39600</v>
      </c>
      <c r="AQ19" s="85">
        <v>-9.0999999999999998E-2</v>
      </c>
      <c r="AR19" s="85">
        <v>-1.7100000000000001E-2</v>
      </c>
      <c r="AS19" s="85">
        <f t="shared" si="3"/>
        <v>7.3899999999999993E-2</v>
      </c>
      <c r="AT19" s="87">
        <v>39539</v>
      </c>
      <c r="AU19" s="88">
        <v>5.8700000000000002E-2</v>
      </c>
      <c r="AV19" s="88">
        <v>2.2000000000000001E-3</v>
      </c>
      <c r="AW19" s="88">
        <f t="shared" si="4"/>
        <v>-5.6500000000000002E-2</v>
      </c>
      <c r="AX19" s="89">
        <f t="shared" si="12"/>
        <v>0.16</v>
      </c>
      <c r="AY19" s="102">
        <f>COUNTIF($B$5:$B$400,"&lt;="&amp;AX19)-SUM($AY$5:AY18)</f>
        <v>0</v>
      </c>
      <c r="AZ19" s="102">
        <f>COUNTIF($C$5:$C$400,"&lt;="&amp;AX19)-SUM($AZ$5:AZ18)</f>
        <v>0</v>
      </c>
    </row>
    <row r="20" spans="1:52" ht="15">
      <c r="A20" s="94">
        <v>39142</v>
      </c>
      <c r="B20" s="73">
        <v>2.3E-3</v>
      </c>
      <c r="C20" s="74">
        <v>1.9699999999999999E-2</v>
      </c>
      <c r="D20" s="74">
        <v>-5.0599999999999999E-2</v>
      </c>
      <c r="E20" s="75">
        <v>0</v>
      </c>
      <c r="F20" s="76">
        <v>1078.22</v>
      </c>
      <c r="G20" s="76">
        <v>1305.32</v>
      </c>
      <c r="H20" s="76">
        <v>1556.82</v>
      </c>
      <c r="I20" s="76">
        <v>1000</v>
      </c>
      <c r="J20" s="77">
        <v>0.52</v>
      </c>
      <c r="K20" s="77">
        <v>0.47</v>
      </c>
      <c r="L20" s="78">
        <f t="shared" si="0"/>
        <v>-0.47</v>
      </c>
      <c r="M20" s="95">
        <f t="shared" si="1"/>
        <v>0.99</v>
      </c>
      <c r="N20" s="95">
        <f t="shared" si="2"/>
        <v>5.0000000000000044E-2</v>
      </c>
      <c r="O20" s="80">
        <f>STDEV(B$5:B20)*SQRT(12)</f>
        <v>0.10938553606396047</v>
      </c>
      <c r="P20" s="80">
        <f>STDEV(C$5:C20)*SQRT(12)</f>
        <v>0.10028766624066991</v>
      </c>
      <c r="Q20" s="82">
        <f t="shared" si="5"/>
        <v>1374.4051564495369</v>
      </c>
      <c r="R20" s="100">
        <f t="shared" si="13"/>
        <v>5.5226612121864527E-2</v>
      </c>
      <c r="S20" s="100">
        <f t="shared" si="14"/>
        <v>0.26143468723122565</v>
      </c>
      <c r="T20" s="100">
        <f t="shared" si="15"/>
        <v>0.20620807510936112</v>
      </c>
      <c r="U20" s="88">
        <f>AVERAGE($N$5:$N20)</f>
        <v>1.1250000000000005E-2</v>
      </c>
      <c r="V20" s="98">
        <f t="shared" si="16"/>
        <v>2.1400312197222527E-3</v>
      </c>
      <c r="W20" s="85">
        <f t="shared" si="17"/>
        <v>6.2129938637097619E-4</v>
      </c>
      <c r="X20" s="85">
        <f t="shared" si="18"/>
        <v>0.25867335662513241</v>
      </c>
      <c r="Y20" s="100">
        <f t="shared" si="19"/>
        <v>0.26143468723122565</v>
      </c>
      <c r="Z20" s="115">
        <f t="shared" si="20"/>
        <v>0.81857202744848623</v>
      </c>
      <c r="AA20" s="115">
        <f t="shared" si="21"/>
        <v>0.23764994345278617</v>
      </c>
      <c r="AB20" s="115">
        <f t="shared" si="22"/>
        <v>98.943778029098723</v>
      </c>
      <c r="AC20" s="83">
        <f t="shared" si="23"/>
        <v>99.999999999999986</v>
      </c>
      <c r="AD20" s="100">
        <f t="shared" si="24"/>
        <v>5.5226612121864527E-2</v>
      </c>
      <c r="AE20" s="100">
        <f t="shared" si="25"/>
        <v>0.26143468723122565</v>
      </c>
      <c r="AF20" s="82">
        <f>MAX(F$4:F20)</f>
        <v>1103.3699999999999</v>
      </c>
      <c r="AG20" s="83">
        <f ca="1">MIN(INDIRECT("f"&amp;ROW(AG20)-AH20):F20)</f>
        <v>1078.22</v>
      </c>
      <c r="AH20" s="83">
        <f t="shared" si="6"/>
        <v>1</v>
      </c>
      <c r="AI20" s="98">
        <f t="shared" ca="1" si="7"/>
        <v>-2.2793804435502052E-2</v>
      </c>
      <c r="AJ20" s="99">
        <f t="shared" ca="1" si="8"/>
        <v>-2.2793804435502052E-2</v>
      </c>
      <c r="AK20" s="76">
        <f>MAX(G$4:G20)</f>
        <v>1305.32</v>
      </c>
      <c r="AL20" s="17">
        <f ca="1">MIN(INDIRECT("g"&amp;ROW(AL20)-AM20):G20)</f>
        <v>1305.32</v>
      </c>
      <c r="AM20" s="17">
        <f t="shared" si="9"/>
        <v>0</v>
      </c>
      <c r="AN20" s="100" t="str">
        <f t="shared" ca="1" si="10"/>
        <v/>
      </c>
      <c r="AO20" s="101">
        <f t="shared" ca="1" si="11"/>
        <v>1.9001077300192071E-2</v>
      </c>
      <c r="AP20" s="84">
        <v>39692</v>
      </c>
      <c r="AQ20" s="85">
        <v>-0.1164</v>
      </c>
      <c r="AR20" s="85">
        <v>-3.3000000000000002E-2</v>
      </c>
      <c r="AS20" s="85">
        <f t="shared" si="3"/>
        <v>8.3400000000000002E-2</v>
      </c>
      <c r="AT20" s="87">
        <v>39569</v>
      </c>
      <c r="AU20" s="88">
        <v>4.5499999999999999E-2</v>
      </c>
      <c r="AV20" s="88">
        <v>-6.0000000000000001E-3</v>
      </c>
      <c r="AW20" s="88">
        <f t="shared" si="4"/>
        <v>-5.1499999999999997E-2</v>
      </c>
      <c r="AX20" s="89">
        <f t="shared" si="12"/>
        <v>0.18</v>
      </c>
      <c r="AY20" s="102">
        <f>COUNTIF($B$5:$B$400,"&lt;="&amp;AX20)-SUM($AY$5:AY19)</f>
        <v>0</v>
      </c>
      <c r="AZ20" s="102">
        <f>COUNTIF($C$5:$C$400,"&lt;="&amp;AX20)-SUM($AZ$5:AZ19)</f>
        <v>0</v>
      </c>
    </row>
    <row r="21" spans="1:52" ht="15">
      <c r="A21" s="94">
        <v>39173</v>
      </c>
      <c r="B21" s="73">
        <v>4.2700000000000002E-2</v>
      </c>
      <c r="C21" s="74">
        <v>2E-3</v>
      </c>
      <c r="D21" s="74">
        <v>-2.87E-2</v>
      </c>
      <c r="E21" s="75">
        <v>0</v>
      </c>
      <c r="F21" s="76">
        <v>1080.7</v>
      </c>
      <c r="G21" s="76">
        <v>1331.03</v>
      </c>
      <c r="H21" s="76">
        <v>1478.05</v>
      </c>
      <c r="I21" s="76">
        <v>1000</v>
      </c>
      <c r="J21" s="77">
        <v>0.52</v>
      </c>
      <c r="K21" s="77">
        <v>0.48</v>
      </c>
      <c r="L21" s="78">
        <f t="shared" si="0"/>
        <v>-0.48</v>
      </c>
      <c r="M21" s="95">
        <f t="shared" si="1"/>
        <v>1</v>
      </c>
      <c r="N21" s="95">
        <f t="shared" si="2"/>
        <v>4.0000000000000036E-2</v>
      </c>
      <c r="O21" s="80">
        <f>STDEV(B$5:B21)*SQRT(12)</f>
        <v>0.11046755845309623</v>
      </c>
      <c r="P21" s="80">
        <f>STDEV(C$5:C21)*SQRT(12)</f>
        <v>9.807583350472765E-2</v>
      </c>
      <c r="Q21" s="82">
        <f t="shared" si="5"/>
        <v>1401.4809380315928</v>
      </c>
      <c r="R21" s="100">
        <f t="shared" si="13"/>
        <v>3.1261331755634947E-2</v>
      </c>
      <c r="S21" s="100">
        <f t="shared" si="14"/>
        <v>0.25039220659658623</v>
      </c>
      <c r="T21" s="100">
        <f t="shared" si="15"/>
        <v>0.21913087484095128</v>
      </c>
      <c r="U21" s="88">
        <f>AVERAGE($N$5:$N21)</f>
        <v>1.2941176470588242E-2</v>
      </c>
      <c r="V21" s="98">
        <f t="shared" si="16"/>
        <v>8.4589485927012307E-4</v>
      </c>
      <c r="W21" s="85">
        <f t="shared" si="17"/>
        <v>4.0455841095527601E-4</v>
      </c>
      <c r="X21" s="85">
        <f t="shared" si="18"/>
        <v>0.24914175332636082</v>
      </c>
      <c r="Y21" s="100">
        <f t="shared" si="19"/>
        <v>0.25039220659658623</v>
      </c>
      <c r="Z21" s="115">
        <f t="shared" si="20"/>
        <v>0.33782795030556501</v>
      </c>
      <c r="AA21" s="115">
        <f t="shared" si="21"/>
        <v>0.16156988927657448</v>
      </c>
      <c r="AB21" s="115">
        <f t="shared" si="22"/>
        <v>99.500602160417856</v>
      </c>
      <c r="AC21" s="83">
        <f t="shared" si="23"/>
        <v>100</v>
      </c>
      <c r="AD21" s="100">
        <f t="shared" si="24"/>
        <v>3.1261331755634947E-2</v>
      </c>
      <c r="AE21" s="100">
        <f t="shared" si="25"/>
        <v>0.25039220659658623</v>
      </c>
      <c r="AF21" s="82">
        <f>MAX(F$4:F21)</f>
        <v>1103.3699999999999</v>
      </c>
      <c r="AG21" s="83">
        <f ca="1">MIN(INDIRECT("f"&amp;ROW(AG21)-AH21):F21)</f>
        <v>1078.22</v>
      </c>
      <c r="AH21" s="83">
        <f t="shared" si="6"/>
        <v>2</v>
      </c>
      <c r="AI21" s="98" t="str">
        <f t="shared" ca="1" si="7"/>
        <v/>
      </c>
      <c r="AJ21" s="99">
        <f t="shared" ca="1" si="8"/>
        <v>0</v>
      </c>
      <c r="AK21" s="76">
        <f>MAX(G$4:G21)</f>
        <v>1331.03</v>
      </c>
      <c r="AL21" s="17">
        <f ca="1">MIN(INDIRECT("g"&amp;ROW(AL21)-AM21):G21)</f>
        <v>1331.03</v>
      </c>
      <c r="AM21" s="17">
        <f t="shared" si="9"/>
        <v>0</v>
      </c>
      <c r="AN21" s="100" t="str">
        <f t="shared" ca="1" si="10"/>
        <v/>
      </c>
      <c r="AO21" s="101">
        <f t="shared" ca="1" si="11"/>
        <v>1.9696319676401286E-2</v>
      </c>
      <c r="AP21" s="84">
        <v>39722</v>
      </c>
      <c r="AQ21" s="85">
        <v>-0.17730000000000001</v>
      </c>
      <c r="AR21" s="85">
        <v>3.7999999999999999E-2</v>
      </c>
      <c r="AS21" s="85">
        <f t="shared" si="3"/>
        <v>0.21530000000000002</v>
      </c>
      <c r="AT21" s="87">
        <v>39630</v>
      </c>
      <c r="AU21" s="88">
        <v>1.4200000000000001E-2</v>
      </c>
      <c r="AV21" s="88">
        <v>2.5999999999999999E-2</v>
      </c>
      <c r="AW21" s="88">
        <f t="shared" si="4"/>
        <v>1.1799999999999998E-2</v>
      </c>
      <c r="AX21" s="89">
        <f t="shared" si="12"/>
        <v>0.19999999999999998</v>
      </c>
      <c r="AY21" s="102">
        <f>COUNTIF($B$5:$B$400,"&lt;="&amp;AX21)-SUM($AY$5:AY20)</f>
        <v>0</v>
      </c>
      <c r="AZ21" s="102">
        <f>COUNTIF($C$5:$C$400,"&lt;="&amp;AX21)-SUM($AZ$5:AZ20)</f>
        <v>0</v>
      </c>
    </row>
    <row r="22" spans="1:52" ht="13.5">
      <c r="A22" s="94">
        <v>39203</v>
      </c>
      <c r="B22" s="73">
        <v>3.15E-2</v>
      </c>
      <c r="C22" s="74">
        <v>-7.0000000000000001E-3</v>
      </c>
      <c r="D22" s="74">
        <v>-8.2299999999999998E-2</v>
      </c>
      <c r="E22" s="75">
        <v>0</v>
      </c>
      <c r="F22" s="76">
        <v>1126.8399999999999</v>
      </c>
      <c r="G22" s="76">
        <v>1333.69</v>
      </c>
      <c r="H22" s="76">
        <v>1435.63</v>
      </c>
      <c r="I22" s="76">
        <v>1000</v>
      </c>
      <c r="J22" s="77">
        <v>0.46</v>
      </c>
      <c r="K22" s="77">
        <v>0.48</v>
      </c>
      <c r="L22" s="78">
        <f t="shared" si="0"/>
        <v>-0.48</v>
      </c>
      <c r="M22" s="95">
        <f t="shared" si="1"/>
        <v>0.94</v>
      </c>
      <c r="N22" s="95">
        <f t="shared" si="2"/>
        <v>-1.9999999999999962E-2</v>
      </c>
      <c r="O22" s="80">
        <f>STDEV(B$5:B22)*SQRT(12)</f>
        <v>0.10894178513784143</v>
      </c>
      <c r="P22" s="80">
        <f>STDEV(C$5:C22)*SQRT(12)</f>
        <v>9.7216814490127396E-2</v>
      </c>
      <c r="Q22" s="82">
        <f t="shared" si="5"/>
        <v>1404.4628123678303</v>
      </c>
      <c r="R22" s="100">
        <f t="shared" si="13"/>
        <v>8.3302089041424887E-2</v>
      </c>
      <c r="S22" s="100">
        <f t="shared" si="14"/>
        <v>0.22917338691096112</v>
      </c>
      <c r="T22" s="100">
        <f t="shared" si="15"/>
        <v>0.14587129786953623</v>
      </c>
      <c r="U22" s="88">
        <f>AVERAGE($N$5:$N22)</f>
        <v>1.111111111111112E-2</v>
      </c>
      <c r="V22" s="98">
        <f t="shared" si="16"/>
        <v>-2.5916205479554386E-3</v>
      </c>
      <c r="W22" s="85">
        <f t="shared" si="17"/>
        <v>9.2557876712694393E-4</v>
      </c>
      <c r="X22" s="85">
        <f t="shared" si="18"/>
        <v>0.23083942869178961</v>
      </c>
      <c r="Y22" s="100">
        <f t="shared" si="19"/>
        <v>0.23435662800687199</v>
      </c>
      <c r="Z22" s="115">
        <f t="shared" si="20"/>
        <v>-1.1058447845048551</v>
      </c>
      <c r="AA22" s="115">
        <f t="shared" si="21"/>
        <v>0.39494456589459181</v>
      </c>
      <c r="AB22" s="115">
        <f t="shared" si="22"/>
        <v>98.499210649600556</v>
      </c>
      <c r="AC22" s="83">
        <f t="shared" si="23"/>
        <v>100</v>
      </c>
      <c r="AD22" s="100">
        <f t="shared" si="24"/>
        <v>8.3302089041424887E-2</v>
      </c>
      <c r="AE22" s="100">
        <f t="shared" si="25"/>
        <v>0.22917338691096112</v>
      </c>
      <c r="AF22" s="82">
        <f>MAX(F$4:F22)</f>
        <v>1126.8399999999999</v>
      </c>
      <c r="AG22" s="83">
        <f ca="1">MIN(INDIRECT("f"&amp;ROW(AG22)-AH22):F22)</f>
        <v>1126.8399999999999</v>
      </c>
      <c r="AH22" s="83">
        <f t="shared" si="6"/>
        <v>0</v>
      </c>
      <c r="AI22" s="98" t="str">
        <f t="shared" ca="1" si="7"/>
        <v/>
      </c>
      <c r="AJ22" s="99">
        <f t="shared" ca="1" si="8"/>
        <v>4.5092838196286289E-2</v>
      </c>
      <c r="AK22" s="76">
        <f>MAX(G$4:G22)</f>
        <v>1333.69</v>
      </c>
      <c r="AL22" s="17">
        <f ca="1">MIN(INDIRECT("g"&amp;ROW(AL22)-AM22):G22)</f>
        <v>1333.69</v>
      </c>
      <c r="AM22" s="17">
        <f t="shared" si="9"/>
        <v>0</v>
      </c>
      <c r="AN22" s="100" t="str">
        <f t="shared" ca="1" si="10"/>
        <v/>
      </c>
      <c r="AO22" s="101">
        <f t="shared" ca="1" si="11"/>
        <v>1.9984523263938403E-3</v>
      </c>
      <c r="AP22" s="84">
        <v>39753</v>
      </c>
      <c r="AQ22" s="85">
        <v>-0.1077</v>
      </c>
      <c r="AR22" s="85">
        <v>-7.0000000000000001E-3</v>
      </c>
      <c r="AS22" s="85">
        <f t="shared" si="3"/>
        <v>0.1007</v>
      </c>
      <c r="AT22" s="87">
        <v>39661</v>
      </c>
      <c r="AU22" s="88">
        <v>1.7999999999999999E-2</v>
      </c>
      <c r="AV22" s="88">
        <v>1.83E-2</v>
      </c>
      <c r="AW22" s="88">
        <f t="shared" si="4"/>
        <v>3.0000000000000165E-4</v>
      </c>
      <c r="AX22" s="227" t="s">
        <v>198</v>
      </c>
      <c r="AY22" s="228"/>
      <c r="AZ22" s="229"/>
    </row>
    <row r="23" spans="1:52" ht="13.5">
      <c r="A23" s="94">
        <v>39234</v>
      </c>
      <c r="B23" s="73">
        <v>-5.0000000000000001E-4</v>
      </c>
      <c r="C23" s="74">
        <v>2.8000000000000001E-2</v>
      </c>
      <c r="D23" s="74">
        <v>0.2437</v>
      </c>
      <c r="E23" s="75">
        <v>0</v>
      </c>
      <c r="F23" s="76">
        <v>1162.3399999999999</v>
      </c>
      <c r="G23" s="76">
        <v>1324.36</v>
      </c>
      <c r="H23" s="76">
        <v>1317.48</v>
      </c>
      <c r="I23" s="76">
        <v>1000</v>
      </c>
      <c r="J23" s="77">
        <v>0.42</v>
      </c>
      <c r="K23" s="77">
        <v>0.44</v>
      </c>
      <c r="L23" s="78">
        <f t="shared" si="0"/>
        <v>-0.44</v>
      </c>
      <c r="M23" s="95">
        <f t="shared" si="1"/>
        <v>0.86</v>
      </c>
      <c r="N23" s="95">
        <f t="shared" si="2"/>
        <v>-2.0000000000000018E-2</v>
      </c>
      <c r="O23" s="80">
        <f>STDEV(B$5:B23)*SQRT(12)</f>
        <v>0.10613344132939934</v>
      </c>
      <c r="P23" s="80">
        <f>STDEV(C$5:C23)*SQRT(12)</f>
        <v>9.4951670070214184E-2</v>
      </c>
      <c r="Q23" s="82">
        <f t="shared" si="5"/>
        <v>1393.0311383136736</v>
      </c>
      <c r="R23" s="100">
        <f t="shared" si="13"/>
        <v>0.19116622258659555</v>
      </c>
      <c r="S23" s="100">
        <f t="shared" si="14"/>
        <v>0.20206219253181312</v>
      </c>
      <c r="T23" s="100">
        <f t="shared" si="15"/>
        <v>1.0895969945217576E-2</v>
      </c>
      <c r="U23" s="88">
        <f>AVERAGE($N$5:$N23)</f>
        <v>9.4736842105263234E-3</v>
      </c>
      <c r="V23" s="98">
        <f t="shared" si="16"/>
        <v>-5.6343728762365047E-3</v>
      </c>
      <c r="W23" s="85">
        <f t="shared" si="17"/>
        <v>1.8110484245045908E-3</v>
      </c>
      <c r="X23" s="85">
        <f t="shared" si="18"/>
        <v>0.20588551698354504</v>
      </c>
      <c r="Y23" s="100">
        <f t="shared" si="19"/>
        <v>0.21333093828428615</v>
      </c>
      <c r="Z23" s="115">
        <f t="shared" si="20"/>
        <v>-2.6411419372881135</v>
      </c>
      <c r="AA23" s="115">
        <f t="shared" si="21"/>
        <v>0.84893847984260784</v>
      </c>
      <c r="AB23" s="115">
        <f t="shared" si="22"/>
        <v>96.509919582869273</v>
      </c>
      <c r="AC23" s="83">
        <f t="shared" si="23"/>
        <v>99.999999999999986</v>
      </c>
      <c r="AD23" s="100">
        <f t="shared" si="24"/>
        <v>0.19116622258659555</v>
      </c>
      <c r="AE23" s="100">
        <f t="shared" si="25"/>
        <v>0.20206219253181312</v>
      </c>
      <c r="AF23" s="82">
        <f>MAX(F$4:F23)</f>
        <v>1162.3399999999999</v>
      </c>
      <c r="AG23" s="83">
        <f ca="1">MIN(INDIRECT("f"&amp;ROW(AG23)-AH23):F23)</f>
        <v>1162.3399999999999</v>
      </c>
      <c r="AH23" s="83">
        <f t="shared" si="6"/>
        <v>0</v>
      </c>
      <c r="AI23" s="98" t="str">
        <f t="shared" ca="1" si="7"/>
        <v/>
      </c>
      <c r="AJ23" s="99">
        <f t="shared" ca="1" si="8"/>
        <v>3.1504028965957831E-2</v>
      </c>
      <c r="AK23" s="76">
        <f>MAX(G$4:G23)</f>
        <v>1333.69</v>
      </c>
      <c r="AL23" s="17">
        <f ca="1">MIN(INDIRECT("g"&amp;ROW(AL23)-AM23):G23)</f>
        <v>1324.36</v>
      </c>
      <c r="AM23" s="17">
        <f t="shared" si="9"/>
        <v>1</v>
      </c>
      <c r="AN23" s="100">
        <f t="shared" ca="1" si="10"/>
        <v>-6.995628669331122E-3</v>
      </c>
      <c r="AO23" s="101">
        <f t="shared" ca="1" si="11"/>
        <v>-6.995628669331122E-3</v>
      </c>
      <c r="AP23" s="84">
        <v>39814</v>
      </c>
      <c r="AQ23" s="85">
        <v>-6.3799999999999996E-2</v>
      </c>
      <c r="AR23" s="85">
        <v>5.96E-2</v>
      </c>
      <c r="AS23" s="85">
        <f t="shared" si="3"/>
        <v>0.1234</v>
      </c>
      <c r="AT23" s="87">
        <v>39783</v>
      </c>
      <c r="AU23" s="88">
        <v>2.7E-2</v>
      </c>
      <c r="AV23" s="88">
        <v>-2.1000000000000001E-2</v>
      </c>
      <c r="AW23" s="88">
        <f t="shared" si="4"/>
        <v>-4.8000000000000001E-2</v>
      </c>
      <c r="AX23" s="230"/>
      <c r="AY23" s="231"/>
      <c r="AZ23" s="232"/>
    </row>
    <row r="24" spans="1:52" ht="13.5">
      <c r="A24" s="94">
        <v>39264</v>
      </c>
      <c r="B24" s="73">
        <v>-2.1899999999999999E-2</v>
      </c>
      <c r="C24" s="74">
        <v>3.3000000000000002E-2</v>
      </c>
      <c r="D24" s="74">
        <v>0.44919999999999999</v>
      </c>
      <c r="E24" s="75">
        <v>0</v>
      </c>
      <c r="F24" s="76">
        <v>1161.76</v>
      </c>
      <c r="G24" s="76">
        <v>1361.44</v>
      </c>
      <c r="H24" s="76">
        <v>1638.55</v>
      </c>
      <c r="I24" s="76">
        <v>1000</v>
      </c>
      <c r="J24" s="77">
        <v>0.42</v>
      </c>
      <c r="K24" s="77">
        <v>0.42</v>
      </c>
      <c r="L24" s="78">
        <f t="shared" si="0"/>
        <v>-0.42</v>
      </c>
      <c r="M24" s="95">
        <f t="shared" si="1"/>
        <v>0.84</v>
      </c>
      <c r="N24" s="95">
        <f t="shared" si="2"/>
        <v>0</v>
      </c>
      <c r="O24" s="80">
        <f>STDEV(B$5:B24)*SQRT(12)</f>
        <v>0.10592995550685466</v>
      </c>
      <c r="P24" s="80">
        <f>STDEV(C$5:C24)*SQRT(12)</f>
        <v>9.3277081294050171E-2</v>
      </c>
      <c r="Q24" s="82">
        <f t="shared" si="5"/>
        <v>1439.4655095907963</v>
      </c>
      <c r="R24" s="100">
        <f t="shared" si="13"/>
        <v>0.19426797425933917</v>
      </c>
      <c r="S24" s="100">
        <f t="shared" si="14"/>
        <v>0.23387016376802383</v>
      </c>
      <c r="T24" s="100">
        <f t="shared" si="15"/>
        <v>3.960218950868466E-2</v>
      </c>
      <c r="U24" s="88">
        <f>AVERAGE($N$5:$N24)</f>
        <v>9.0000000000000063E-3</v>
      </c>
      <c r="V24" s="98">
        <f t="shared" si="16"/>
        <v>-1.7484117683340538E-3</v>
      </c>
      <c r="W24" s="85">
        <f t="shared" si="17"/>
        <v>1.7484117683340538E-3</v>
      </c>
      <c r="X24" s="85">
        <f t="shared" si="18"/>
        <v>0.23387016376802383</v>
      </c>
      <c r="Y24" s="100">
        <f t="shared" si="19"/>
        <v>0.23736698730469194</v>
      </c>
      <c r="Z24" s="115">
        <f t="shared" si="20"/>
        <v>-0.7365859036200918</v>
      </c>
      <c r="AA24" s="115">
        <f t="shared" si="21"/>
        <v>0.7365859036200918</v>
      </c>
      <c r="AB24" s="115">
        <f t="shared" si="22"/>
        <v>98.526828192759822</v>
      </c>
      <c r="AC24" s="83">
        <f t="shared" si="23"/>
        <v>100.00000000000001</v>
      </c>
      <c r="AD24" s="100">
        <f t="shared" si="24"/>
        <v>0.19426797425933917</v>
      </c>
      <c r="AE24" s="100">
        <f t="shared" si="25"/>
        <v>0.23387016376802383</v>
      </c>
      <c r="AF24" s="82">
        <f>MAX(F$4:F24)</f>
        <v>1162.3399999999999</v>
      </c>
      <c r="AG24" s="83">
        <f ca="1">MIN(INDIRECT("f"&amp;ROW(AG24)-AH24):F24)</f>
        <v>1161.76</v>
      </c>
      <c r="AH24" s="83">
        <f t="shared" si="6"/>
        <v>1</v>
      </c>
      <c r="AI24" s="98">
        <f t="shared" ca="1" si="7"/>
        <v>-4.9899340984560503E-4</v>
      </c>
      <c r="AJ24" s="99">
        <f t="shared" ca="1" si="8"/>
        <v>-4.9899340984560503E-4</v>
      </c>
      <c r="AK24" s="76">
        <f>MAX(G$4:G24)</f>
        <v>1361.44</v>
      </c>
      <c r="AL24" s="17">
        <f ca="1">MIN(INDIRECT("g"&amp;ROW(AL24)-AM24):G24)</f>
        <v>1361.44</v>
      </c>
      <c r="AM24" s="17">
        <f t="shared" si="9"/>
        <v>0</v>
      </c>
      <c r="AN24" s="100" t="str">
        <f t="shared" ca="1" si="10"/>
        <v/>
      </c>
      <c r="AO24" s="101">
        <f t="shared" ca="1" si="11"/>
        <v>2.7998429430064364E-2</v>
      </c>
      <c r="AP24" s="84">
        <v>39845</v>
      </c>
      <c r="AQ24" s="85">
        <v>-6.6799999999999998E-2</v>
      </c>
      <c r="AR24" s="85">
        <v>-3.5000000000000001E-3</v>
      </c>
      <c r="AS24" s="85">
        <f t="shared" si="3"/>
        <v>6.3299999999999995E-2</v>
      </c>
      <c r="AT24" s="87">
        <v>39873</v>
      </c>
      <c r="AU24" s="88">
        <v>0.1094</v>
      </c>
      <c r="AV24" s="88">
        <v>2.5000000000000001E-3</v>
      </c>
      <c r="AW24" s="88">
        <f t="shared" si="4"/>
        <v>-0.1069</v>
      </c>
      <c r="AX24" s="230"/>
      <c r="AY24" s="231"/>
      <c r="AZ24" s="232"/>
    </row>
    <row r="25" spans="1:52" ht="13.5">
      <c r="A25" s="94">
        <v>39295</v>
      </c>
      <c r="B25" s="73">
        <v>1.9699999999999999E-2</v>
      </c>
      <c r="C25" s="74">
        <v>5.0000000000000001E-3</v>
      </c>
      <c r="D25" s="74">
        <v>-6.0000000000000001E-3</v>
      </c>
      <c r="E25" s="75">
        <v>1.5E-3</v>
      </c>
      <c r="F25" s="76">
        <v>1136.31</v>
      </c>
      <c r="G25" s="76">
        <v>1406.37</v>
      </c>
      <c r="H25" s="76">
        <v>2374.58</v>
      </c>
      <c r="I25" s="76">
        <v>1000</v>
      </c>
      <c r="J25" s="77">
        <v>0.51</v>
      </c>
      <c r="K25" s="77">
        <v>0.49</v>
      </c>
      <c r="L25" s="78">
        <f t="shared" si="0"/>
        <v>-0.49</v>
      </c>
      <c r="M25" s="95">
        <f t="shared" si="1"/>
        <v>1</v>
      </c>
      <c r="N25" s="95">
        <f t="shared" si="2"/>
        <v>2.0000000000000018E-2</v>
      </c>
      <c r="O25" s="80">
        <f>STDEV(B$5:B25)*SQRT(12)</f>
        <v>0.10370332685116712</v>
      </c>
      <c r="P25" s="80">
        <f>STDEV(C$5:C25)*SQRT(12)</f>
        <v>9.1406536183923179E-2</v>
      </c>
      <c r="Q25" s="82">
        <f t="shared" si="5"/>
        <v>1486.9678714072925</v>
      </c>
      <c r="R25" s="100">
        <f t="shared" si="13"/>
        <v>0.2131121288793516</v>
      </c>
      <c r="S25" s="100">
        <f t="shared" si="14"/>
        <v>0.2753529875853562</v>
      </c>
      <c r="T25" s="100">
        <f t="shared" si="15"/>
        <v>6.2240858706004598E-2</v>
      </c>
      <c r="U25" s="88">
        <f>AVERAGE($N$5:$N25)</f>
        <v>9.5238095238095316E-3</v>
      </c>
      <c r="V25" s="98">
        <f t="shared" si="16"/>
        <v>2.2326032549265427E-3</v>
      </c>
      <c r="W25" s="85">
        <f t="shared" si="17"/>
        <v>2.0296393226604931E-3</v>
      </c>
      <c r="X25" s="85">
        <f t="shared" si="18"/>
        <v>0.27109074500776914</v>
      </c>
      <c r="Y25" s="100">
        <f t="shared" si="19"/>
        <v>0.2753529875853562</v>
      </c>
      <c r="Z25" s="115">
        <f t="shared" si="20"/>
        <v>0.81081497408284409</v>
      </c>
      <c r="AA25" s="115">
        <f t="shared" si="21"/>
        <v>0.73710452189349451</v>
      </c>
      <c r="AB25" s="115">
        <f t="shared" si="22"/>
        <v>98.452080504023655</v>
      </c>
      <c r="AC25" s="83">
        <f t="shared" si="23"/>
        <v>100</v>
      </c>
      <c r="AD25" s="100">
        <f t="shared" si="24"/>
        <v>0.2131121288793516</v>
      </c>
      <c r="AE25" s="100">
        <f t="shared" si="25"/>
        <v>0.2753529875853562</v>
      </c>
      <c r="AF25" s="82">
        <f>MAX(F$4:F25)</f>
        <v>1162.3399999999999</v>
      </c>
      <c r="AG25" s="83">
        <f ca="1">MIN(INDIRECT("f"&amp;ROW(AG25)-AH25):F25)</f>
        <v>1136.31</v>
      </c>
      <c r="AH25" s="83">
        <f t="shared" si="6"/>
        <v>2</v>
      </c>
      <c r="AI25" s="98">
        <f t="shared" ca="1" si="7"/>
        <v>-2.2394480100486946E-2</v>
      </c>
      <c r="AJ25" s="99">
        <f t="shared" ca="1" si="8"/>
        <v>-2.1906417848781223E-2</v>
      </c>
      <c r="AK25" s="76">
        <f>MAX(G$4:G25)</f>
        <v>1406.37</v>
      </c>
      <c r="AL25" s="17">
        <f ca="1">MIN(INDIRECT("g"&amp;ROW(AL25)-AM25):G25)</f>
        <v>1406.37</v>
      </c>
      <c r="AM25" s="17">
        <f t="shared" si="9"/>
        <v>0</v>
      </c>
      <c r="AN25" s="100" t="str">
        <f t="shared" ca="1" si="10"/>
        <v/>
      </c>
      <c r="AO25" s="101">
        <f t="shared" ca="1" si="11"/>
        <v>3.300182160065801E-2</v>
      </c>
      <c r="AP25" s="84">
        <v>40087</v>
      </c>
      <c r="AQ25" s="85">
        <v>-3.6400000000000002E-2</v>
      </c>
      <c r="AR25" s="85">
        <v>1.6E-2</v>
      </c>
      <c r="AS25" s="85">
        <f t="shared" si="3"/>
        <v>5.2400000000000002E-2</v>
      </c>
      <c r="AT25" s="87">
        <v>39934</v>
      </c>
      <c r="AU25" s="88">
        <v>3.32E-2</v>
      </c>
      <c r="AV25" s="88">
        <v>5.1999999999999998E-2</v>
      </c>
      <c r="AW25" s="88">
        <f t="shared" si="4"/>
        <v>1.8799999999999997E-2</v>
      </c>
      <c r="AX25" s="230"/>
      <c r="AY25" s="231"/>
      <c r="AZ25" s="232"/>
    </row>
    <row r="26" spans="1:52" ht="13.5">
      <c r="A26" s="94">
        <v>39326</v>
      </c>
      <c r="B26" s="73">
        <v>4.0500000000000001E-2</v>
      </c>
      <c r="C26" s="74">
        <v>1.4E-2</v>
      </c>
      <c r="D26" s="74">
        <v>-0.2301</v>
      </c>
      <c r="E26" s="75">
        <v>0</v>
      </c>
      <c r="F26" s="76">
        <v>1158.7</v>
      </c>
      <c r="G26" s="76">
        <v>1413.4</v>
      </c>
      <c r="H26" s="76">
        <v>2360.34</v>
      </c>
      <c r="I26" s="76">
        <v>1001.5</v>
      </c>
      <c r="J26" s="77">
        <v>0.56000000000000005</v>
      </c>
      <c r="K26" s="77">
        <v>0.53</v>
      </c>
      <c r="L26" s="78">
        <f t="shared" si="0"/>
        <v>-0.53</v>
      </c>
      <c r="M26" s="95">
        <f t="shared" si="1"/>
        <v>1.0900000000000001</v>
      </c>
      <c r="N26" s="95">
        <f t="shared" si="2"/>
        <v>3.0000000000000027E-2</v>
      </c>
      <c r="O26" s="80">
        <f>STDEV(B$5:B26)*SQRT(12)</f>
        <v>0.10410315688165882</v>
      </c>
      <c r="P26" s="80">
        <f>STDEV(C$5:C26)*SQRT(12)</f>
        <v>8.9229777802890722E-2</v>
      </c>
      <c r="Q26" s="82">
        <f t="shared" si="5"/>
        <v>1493.7888249458581</v>
      </c>
      <c r="R26" s="100">
        <f t="shared" si="13"/>
        <v>0.18477694045951387</v>
      </c>
      <c r="S26" s="100">
        <f t="shared" si="14"/>
        <v>0.27218721872187235</v>
      </c>
      <c r="T26" s="100">
        <f t="shared" si="15"/>
        <v>8.7410278262358476E-2</v>
      </c>
      <c r="U26" s="88">
        <f>AVERAGE($N$5:$N26)</f>
        <v>1.0454545454545463E-2</v>
      </c>
      <c r="V26" s="98">
        <f t="shared" si="16"/>
        <v>3.6115492907995927E-3</v>
      </c>
      <c r="W26" s="85">
        <f t="shared" si="17"/>
        <v>1.9317589229858284E-3</v>
      </c>
      <c r="X26" s="85">
        <f t="shared" si="18"/>
        <v>0.26664391050808695</v>
      </c>
      <c r="Y26" s="100">
        <f t="shared" si="19"/>
        <v>0.27218721872187235</v>
      </c>
      <c r="Z26" s="115">
        <f t="shared" si="20"/>
        <v>1.3268621898407227</v>
      </c>
      <c r="AA26" s="115">
        <f t="shared" si="21"/>
        <v>0.70971698526364224</v>
      </c>
      <c r="AB26" s="115">
        <f t="shared" si="22"/>
        <v>97.963420824895636</v>
      </c>
      <c r="AC26" s="83">
        <f t="shared" si="23"/>
        <v>100</v>
      </c>
      <c r="AD26" s="100">
        <f t="shared" si="24"/>
        <v>0.18477694045951387</v>
      </c>
      <c r="AE26" s="100">
        <f t="shared" si="25"/>
        <v>0.27218721872187235</v>
      </c>
      <c r="AF26" s="82">
        <f>MAX(F$4:F26)</f>
        <v>1162.3399999999999</v>
      </c>
      <c r="AG26" s="83">
        <f ca="1">MIN(INDIRECT("f"&amp;ROW(AG26)-AH26):F26)</f>
        <v>1136.31</v>
      </c>
      <c r="AH26" s="83">
        <f t="shared" si="6"/>
        <v>3</v>
      </c>
      <c r="AI26" s="98" t="str">
        <f t="shared" ca="1" si="7"/>
        <v/>
      </c>
      <c r="AJ26" s="99">
        <f t="shared" ca="1" si="8"/>
        <v>0</v>
      </c>
      <c r="AK26" s="76">
        <f>MAX(G$4:G26)</f>
        <v>1413.4</v>
      </c>
      <c r="AL26" s="17">
        <f ca="1">MIN(INDIRECT("g"&amp;ROW(AL26)-AM26):G26)</f>
        <v>1413.4</v>
      </c>
      <c r="AM26" s="17">
        <f t="shared" si="9"/>
        <v>0</v>
      </c>
      <c r="AN26" s="100" t="str">
        <f t="shared" ca="1" si="10"/>
        <v/>
      </c>
      <c r="AO26" s="101">
        <f t="shared" ca="1" si="11"/>
        <v>4.9986845566958316E-3</v>
      </c>
      <c r="AP26" s="84">
        <v>40179</v>
      </c>
      <c r="AQ26" s="85">
        <v>-5.3699999999999998E-2</v>
      </c>
      <c r="AR26" s="85">
        <v>2.1700000000000001E-2</v>
      </c>
      <c r="AS26" s="85">
        <f t="shared" si="3"/>
        <v>7.5399999999999995E-2</v>
      </c>
      <c r="AT26" s="87">
        <v>39965</v>
      </c>
      <c r="AU26" s="88">
        <v>3.4200000000000001E-2</v>
      </c>
      <c r="AV26" s="88">
        <v>0.02</v>
      </c>
      <c r="AW26" s="88">
        <f t="shared" si="4"/>
        <v>-1.4200000000000001E-2</v>
      </c>
      <c r="AX26" s="230"/>
      <c r="AY26" s="231"/>
      <c r="AZ26" s="232"/>
    </row>
    <row r="27" spans="1:52" ht="13.5">
      <c r="A27" s="94">
        <v>39356</v>
      </c>
      <c r="B27" s="73">
        <v>5.8299999999999998E-2</v>
      </c>
      <c r="C27" s="74">
        <v>-3.6700000000000003E-2</v>
      </c>
      <c r="D27" s="74">
        <v>2.9399999999999999E-2</v>
      </c>
      <c r="E27" s="75">
        <v>0</v>
      </c>
      <c r="F27" s="76">
        <v>1205.6300000000001</v>
      </c>
      <c r="G27" s="76">
        <v>1433.19</v>
      </c>
      <c r="H27" s="76">
        <v>1817.22</v>
      </c>
      <c r="I27" s="76">
        <v>1001.5</v>
      </c>
      <c r="J27" s="77">
        <v>0.57999999999999996</v>
      </c>
      <c r="K27" s="77">
        <v>0.56000000000000005</v>
      </c>
      <c r="L27" s="78">
        <f t="shared" si="0"/>
        <v>-0.56000000000000005</v>
      </c>
      <c r="M27" s="95">
        <f t="shared" si="1"/>
        <v>1.1400000000000001</v>
      </c>
      <c r="N27" s="95">
        <f t="shared" si="2"/>
        <v>1.9999999999999907E-2</v>
      </c>
      <c r="O27" s="80">
        <f>STDEV(B$5:B27)*SQRT(12)</f>
        <v>0.10777093406502984</v>
      </c>
      <c r="P27" s="80">
        <f>STDEV(C$5:C27)*SQRT(12)</f>
        <v>9.5356628717232911E-2</v>
      </c>
      <c r="Q27" s="82">
        <f t="shared" si="5"/>
        <v>1512.133599989053</v>
      </c>
      <c r="R27" s="100">
        <f t="shared" si="13"/>
        <v>0.19199359329273125</v>
      </c>
      <c r="S27" s="100">
        <f t="shared" si="14"/>
        <v>0.25254758700249957</v>
      </c>
      <c r="T27" s="100">
        <f t="shared" si="15"/>
        <v>6.0553993709768328E-2</v>
      </c>
      <c r="U27" s="88">
        <f>AVERAGE($N$5:$N27)</f>
        <v>1.0869565217391309E-2</v>
      </c>
      <c r="V27" s="98">
        <f t="shared" si="16"/>
        <v>1.7529849822379622E-3</v>
      </c>
      <c r="W27" s="85">
        <f t="shared" si="17"/>
        <v>2.0868868836166447E-3</v>
      </c>
      <c r="X27" s="85">
        <f t="shared" si="18"/>
        <v>0.24870771513664497</v>
      </c>
      <c r="Y27" s="100">
        <f t="shared" si="19"/>
        <v>0.25254758700249957</v>
      </c>
      <c r="Z27" s="115">
        <f t="shared" si="20"/>
        <v>0.69412066179060827</v>
      </c>
      <c r="AA27" s="115">
        <f t="shared" si="21"/>
        <v>0.82633412117930471</v>
      </c>
      <c r="AB27" s="115">
        <f t="shared" si="22"/>
        <v>98.479545217030079</v>
      </c>
      <c r="AC27" s="83">
        <f t="shared" si="23"/>
        <v>99.999999999999986</v>
      </c>
      <c r="AD27" s="100">
        <f t="shared" si="24"/>
        <v>0.19199359329273125</v>
      </c>
      <c r="AE27" s="100">
        <f t="shared" si="25"/>
        <v>0.25254758700249957</v>
      </c>
      <c r="AF27" s="82">
        <f>MAX(F$4:F27)</f>
        <v>1205.6300000000001</v>
      </c>
      <c r="AG27" s="83">
        <f ca="1">MIN(INDIRECT("f"&amp;ROW(AG27)-AH27):F27)</f>
        <v>1205.6300000000001</v>
      </c>
      <c r="AH27" s="83">
        <f t="shared" si="6"/>
        <v>0</v>
      </c>
      <c r="AI27" s="98" t="str">
        <f t="shared" ca="1" si="7"/>
        <v/>
      </c>
      <c r="AJ27" s="99">
        <f t="shared" ca="1" si="8"/>
        <v>6.1004479411428392E-2</v>
      </c>
      <c r="AK27" s="76">
        <f>MAX(G$4:G27)</f>
        <v>1433.19</v>
      </c>
      <c r="AL27" s="17">
        <f ca="1">MIN(INDIRECT("g"&amp;ROW(AL27)-AM27):G27)</f>
        <v>1433.19</v>
      </c>
      <c r="AM27" s="17">
        <f t="shared" si="9"/>
        <v>0</v>
      </c>
      <c r="AN27" s="100" t="str">
        <f t="shared" ca="1" si="10"/>
        <v/>
      </c>
      <c r="AO27" s="101">
        <f t="shared" ca="1" si="11"/>
        <v>1.4001698033111687E-2</v>
      </c>
      <c r="AP27" s="84">
        <v>40299</v>
      </c>
      <c r="AQ27" s="85">
        <v>-8.2900000000000001E-2</v>
      </c>
      <c r="AR27" s="85">
        <v>1.55E-2</v>
      </c>
      <c r="AS27" s="85">
        <f t="shared" si="3"/>
        <v>9.8400000000000001E-2</v>
      </c>
      <c r="AT27" s="87">
        <v>39995</v>
      </c>
      <c r="AU27" s="88">
        <v>7.8200000000000006E-2</v>
      </c>
      <c r="AV27" s="88">
        <v>6.0000000000000001E-3</v>
      </c>
      <c r="AW27" s="88">
        <f t="shared" si="4"/>
        <v>-7.22E-2</v>
      </c>
      <c r="AX27" s="230"/>
      <c r="AY27" s="231"/>
      <c r="AZ27" s="232"/>
    </row>
    <row r="28" spans="1:52" ht="13.5">
      <c r="A28" s="94">
        <v>39387</v>
      </c>
      <c r="B28" s="73">
        <v>-6.93E-2</v>
      </c>
      <c r="C28" s="74">
        <v>3.9E-2</v>
      </c>
      <c r="D28" s="74">
        <v>0.23419999999999999</v>
      </c>
      <c r="E28" s="75">
        <v>0</v>
      </c>
      <c r="F28" s="76">
        <v>1275.92</v>
      </c>
      <c r="G28" s="76">
        <v>1380.59</v>
      </c>
      <c r="H28" s="76">
        <v>1870.65</v>
      </c>
      <c r="I28" s="76">
        <v>1001.5</v>
      </c>
      <c r="J28" s="77">
        <v>0.62</v>
      </c>
      <c r="K28" s="77">
        <v>0.56999999999999995</v>
      </c>
      <c r="L28" s="78">
        <f t="shared" si="0"/>
        <v>-0.56999999999999995</v>
      </c>
      <c r="M28" s="95">
        <f t="shared" si="1"/>
        <v>1.19</v>
      </c>
      <c r="N28" s="95">
        <f t="shared" si="2"/>
        <v>5.0000000000000044E-2</v>
      </c>
      <c r="O28" s="80">
        <f>STDEV(B$5:B28)*SQRT(12)</f>
        <v>0.11976110187259939</v>
      </c>
      <c r="P28" s="80">
        <f>STDEV(C$5:C28)*SQRT(12)</f>
        <v>9.4860537220380181E-2</v>
      </c>
      <c r="Q28" s="82">
        <f t="shared" si="5"/>
        <v>1465.4988914851888</v>
      </c>
      <c r="R28" s="100">
        <f t="shared" si="13"/>
        <v>0.2038230382398174</v>
      </c>
      <c r="S28" s="100">
        <f t="shared" si="14"/>
        <v>0.21069339577139945</v>
      </c>
      <c r="T28" s="100">
        <f t="shared" si="15"/>
        <v>6.8703575315820498E-3</v>
      </c>
      <c r="U28" s="88">
        <f>AVERAGE($N$5:$N28)</f>
        <v>1.2500000000000006E-2</v>
      </c>
      <c r="V28" s="98">
        <f t="shared" si="16"/>
        <v>7.6433639339931608E-3</v>
      </c>
      <c r="W28" s="85">
        <f t="shared" si="17"/>
        <v>2.5477879779977185E-3</v>
      </c>
      <c r="X28" s="85">
        <f t="shared" si="18"/>
        <v>0.20050224385940857</v>
      </c>
      <c r="Y28" s="100">
        <f t="shared" si="19"/>
        <v>0.21069339577139945</v>
      </c>
      <c r="Z28" s="115">
        <f t="shared" si="20"/>
        <v>3.6277188024849845</v>
      </c>
      <c r="AA28" s="115">
        <f t="shared" si="21"/>
        <v>1.2092396008283273</v>
      </c>
      <c r="AB28" s="115">
        <f t="shared" si="22"/>
        <v>95.163041596686696</v>
      </c>
      <c r="AC28" s="83">
        <f t="shared" si="23"/>
        <v>100</v>
      </c>
      <c r="AD28" s="100">
        <f t="shared" si="24"/>
        <v>0.2038230382398174</v>
      </c>
      <c r="AE28" s="100">
        <f t="shared" si="25"/>
        <v>0.21069339577139945</v>
      </c>
      <c r="AF28" s="82">
        <f>MAX(F$4:F28)</f>
        <v>1275.92</v>
      </c>
      <c r="AG28" s="83">
        <f ca="1">MIN(INDIRECT("f"&amp;ROW(AG28)-AH28):F28)</f>
        <v>1275.92</v>
      </c>
      <c r="AH28" s="83">
        <f t="shared" si="6"/>
        <v>0</v>
      </c>
      <c r="AI28" s="98" t="str">
        <f t="shared" ca="1" si="7"/>
        <v/>
      </c>
      <c r="AJ28" s="99">
        <f t="shared" ca="1" si="8"/>
        <v>5.8301468941549306E-2</v>
      </c>
      <c r="AK28" s="76">
        <f>MAX(G$4:G28)</f>
        <v>1433.19</v>
      </c>
      <c r="AL28" s="17">
        <f ca="1">MIN(INDIRECT("g"&amp;ROW(AL28)-AM28):G28)</f>
        <v>1380.59</v>
      </c>
      <c r="AM28" s="17">
        <f t="shared" si="9"/>
        <v>1</v>
      </c>
      <c r="AN28" s="100">
        <f t="shared" ca="1" si="10"/>
        <v>-3.6701344553060067E-2</v>
      </c>
      <c r="AO28" s="101">
        <f t="shared" ca="1" si="11"/>
        <v>-3.6701344553060067E-2</v>
      </c>
      <c r="AP28" s="84">
        <v>40330</v>
      </c>
      <c r="AQ28" s="85">
        <v>-6.5500000000000003E-2</v>
      </c>
      <c r="AR28" s="85">
        <v>1.9E-2</v>
      </c>
      <c r="AS28" s="85">
        <f t="shared" si="3"/>
        <v>8.4500000000000006E-2</v>
      </c>
      <c r="AT28" s="87">
        <v>40026</v>
      </c>
      <c r="AU28" s="88">
        <v>1.54E-2</v>
      </c>
      <c r="AV28" s="88">
        <v>5.7000000000000002E-2</v>
      </c>
      <c r="AW28" s="88">
        <f t="shared" si="4"/>
        <v>4.1599999999999998E-2</v>
      </c>
      <c r="AX28" s="230"/>
      <c r="AY28" s="231"/>
      <c r="AZ28" s="232"/>
    </row>
    <row r="29" spans="1:52" ht="13.5">
      <c r="A29" s="94">
        <v>39417</v>
      </c>
      <c r="B29" s="73">
        <v>-3.3E-3</v>
      </c>
      <c r="C29" s="74">
        <v>0.05</v>
      </c>
      <c r="D29" s="74">
        <v>-1.6199999999999999E-2</v>
      </c>
      <c r="E29" s="75">
        <v>0</v>
      </c>
      <c r="F29" s="76">
        <v>1187.49</v>
      </c>
      <c r="G29" s="76">
        <v>1434.43</v>
      </c>
      <c r="H29" s="76">
        <v>2308.75</v>
      </c>
      <c r="I29" s="76">
        <v>1001.5</v>
      </c>
      <c r="J29" s="77">
        <v>0.63</v>
      </c>
      <c r="K29" s="77">
        <v>0.59</v>
      </c>
      <c r="L29" s="78">
        <f t="shared" si="0"/>
        <v>-0.59</v>
      </c>
      <c r="M29" s="95">
        <f t="shared" si="1"/>
        <v>1.22</v>
      </c>
      <c r="N29" s="95">
        <f t="shared" si="2"/>
        <v>4.0000000000000036E-2</v>
      </c>
      <c r="O29" s="80">
        <f>STDEV(B$5:B29)*SQRT(12)</f>
        <v>0.11748978679017166</v>
      </c>
      <c r="P29" s="80">
        <f>STDEV(C$5:C29)*SQRT(12)</f>
        <v>9.5892216576737896E-2</v>
      </c>
      <c r="Q29" s="82">
        <f t="shared" si="5"/>
        <v>1512.3468068687318</v>
      </c>
      <c r="R29" s="100">
        <f t="shared" si="13"/>
        <v>9.0400719900095572E-2</v>
      </c>
      <c r="S29" s="100">
        <f t="shared" si="14"/>
        <v>0.24767761464059568</v>
      </c>
      <c r="T29" s="100">
        <f t="shared" si="15"/>
        <v>0.15727689474050011</v>
      </c>
      <c r="U29" s="88">
        <f>AVERAGE($N$5:$N29)</f>
        <v>1.3600000000000008E-2</v>
      </c>
      <c r="V29" s="98">
        <f t="shared" si="16"/>
        <v>2.3865790053625257E-3</v>
      </c>
      <c r="W29" s="85">
        <f t="shared" si="17"/>
        <v>1.2294497906413006E-3</v>
      </c>
      <c r="X29" s="85">
        <f t="shared" si="18"/>
        <v>0.24406158584459184</v>
      </c>
      <c r="Y29" s="100">
        <f t="shared" si="19"/>
        <v>0.24767761464059568</v>
      </c>
      <c r="Z29" s="115">
        <f t="shared" si="20"/>
        <v>0.9635828449113919</v>
      </c>
      <c r="AA29" s="115">
        <f t="shared" si="21"/>
        <v>0.49639116253011073</v>
      </c>
      <c r="AB29" s="115">
        <f t="shared" si="22"/>
        <v>98.540025992558483</v>
      </c>
      <c r="AC29" s="83">
        <f t="shared" si="23"/>
        <v>99.999999999999986</v>
      </c>
      <c r="AD29" s="100">
        <f t="shared" si="24"/>
        <v>9.0400719900095572E-2</v>
      </c>
      <c r="AE29" s="100">
        <f t="shared" si="25"/>
        <v>0.24767761464059568</v>
      </c>
      <c r="AF29" s="82">
        <f>MAX(F$4:F29)</f>
        <v>1275.92</v>
      </c>
      <c r="AG29" s="83">
        <f ca="1">MIN(INDIRECT("f"&amp;ROW(AG29)-AH29):F29)</f>
        <v>1187.49</v>
      </c>
      <c r="AH29" s="83">
        <f t="shared" si="6"/>
        <v>1</v>
      </c>
      <c r="AI29" s="98">
        <f t="shared" ca="1" si="7"/>
        <v>-6.9306853094237897E-2</v>
      </c>
      <c r="AJ29" s="99">
        <f t="shared" ca="1" si="8"/>
        <v>-6.9306853094237897E-2</v>
      </c>
      <c r="AK29" s="76">
        <f>MAX(G$4:G29)</f>
        <v>1434.43</v>
      </c>
      <c r="AL29" s="17">
        <f ca="1">MIN(INDIRECT("g"&amp;ROW(AL29)-AM29):G29)</f>
        <v>1434.43</v>
      </c>
      <c r="AM29" s="17">
        <f t="shared" si="9"/>
        <v>0</v>
      </c>
      <c r="AN29" s="100" t="str">
        <f t="shared" ca="1" si="10"/>
        <v/>
      </c>
      <c r="AO29" s="101">
        <f t="shared" ca="1" si="11"/>
        <v>3.8997819772705888E-2</v>
      </c>
      <c r="AP29" s="84">
        <v>40391</v>
      </c>
      <c r="AQ29" s="85">
        <v>-6.2399999999999997E-2</v>
      </c>
      <c r="AR29" s="85">
        <v>-1.0999999999999999E-2</v>
      </c>
      <c r="AS29" s="85">
        <f t="shared" si="3"/>
        <v>5.1400000000000001E-2</v>
      </c>
      <c r="AT29" s="87">
        <v>40057</v>
      </c>
      <c r="AU29" s="88">
        <v>5.6399999999999999E-2</v>
      </c>
      <c r="AV29" s="88">
        <v>-2E-3</v>
      </c>
      <c r="AW29" s="88">
        <f t="shared" si="4"/>
        <v>-5.8400000000000001E-2</v>
      </c>
      <c r="AX29" s="230"/>
      <c r="AY29" s="231"/>
      <c r="AZ29" s="232"/>
    </row>
    <row r="30" spans="1:52" ht="14.1" customHeight="1">
      <c r="A30" s="94">
        <v>39448</v>
      </c>
      <c r="B30" s="73">
        <v>-9.8900000000000002E-2</v>
      </c>
      <c r="C30" s="74">
        <v>1.0999999999999999E-2</v>
      </c>
      <c r="D30" s="74">
        <v>0.16439999999999999</v>
      </c>
      <c r="E30" s="75">
        <v>0</v>
      </c>
      <c r="F30" s="76">
        <v>1183.58</v>
      </c>
      <c r="G30" s="76">
        <v>1506.15</v>
      </c>
      <c r="H30" s="76">
        <v>2271.35</v>
      </c>
      <c r="I30" s="76">
        <v>1001.5</v>
      </c>
      <c r="J30" s="77">
        <v>0.6</v>
      </c>
      <c r="K30" s="77">
        <v>0.59</v>
      </c>
      <c r="L30" s="78">
        <f t="shared" si="0"/>
        <v>-0.59</v>
      </c>
      <c r="M30" s="95">
        <f t="shared" si="1"/>
        <v>1.19</v>
      </c>
      <c r="N30" s="95">
        <f t="shared" si="2"/>
        <v>1.0000000000000009E-2</v>
      </c>
      <c r="O30" s="80">
        <f>STDEV(B$5:B30)*SQRT(12)</f>
        <v>0.13586423608203094</v>
      </c>
      <c r="P30" s="80">
        <f>STDEV(C$5:C30)*SQRT(12)</f>
        <v>9.4039336777427707E-2</v>
      </c>
      <c r="Q30" s="82">
        <f t="shared" si="5"/>
        <v>1575.8907903506115</v>
      </c>
      <c r="R30" s="100">
        <f t="shared" si="13"/>
        <v>9.4255891571054518E-2</v>
      </c>
      <c r="S30" s="100">
        <f t="shared" si="14"/>
        <v>0.16989793540569509</v>
      </c>
      <c r="T30" s="100">
        <f t="shared" si="15"/>
        <v>7.5642043834640571E-2</v>
      </c>
      <c r="U30" s="88">
        <f>AVERAGE($N$5:$N30)</f>
        <v>1.3461538461538469E-2</v>
      </c>
      <c r="V30" s="98">
        <f t="shared" si="16"/>
        <v>-3.2627039389980397E-4</v>
      </c>
      <c r="W30" s="85">
        <f t="shared" si="17"/>
        <v>1.2688293096103499E-3</v>
      </c>
      <c r="X30" s="85">
        <f t="shared" si="18"/>
        <v>0.16895537648998454</v>
      </c>
      <c r="Y30" s="100">
        <f t="shared" si="19"/>
        <v>0.1705504761934947</v>
      </c>
      <c r="Z30" s="115">
        <f t="shared" si="20"/>
        <v>-0.19130429957266157</v>
      </c>
      <c r="AA30" s="115">
        <f t="shared" si="21"/>
        <v>0.7439611650047957</v>
      </c>
      <c r="AB30" s="115">
        <f t="shared" si="22"/>
        <v>99.064734535422545</v>
      </c>
      <c r="AC30" s="83">
        <f t="shared" si="23"/>
        <v>100</v>
      </c>
      <c r="AD30" s="100">
        <f t="shared" si="24"/>
        <v>9.4255891571054518E-2</v>
      </c>
      <c r="AE30" s="100">
        <f t="shared" si="25"/>
        <v>0.16989793540569509</v>
      </c>
      <c r="AF30" s="82">
        <f>MAX(F$4:F30)</f>
        <v>1275.92</v>
      </c>
      <c r="AG30" s="83">
        <f ca="1">MIN(INDIRECT("f"&amp;ROW(AG30)-AH30):F30)</f>
        <v>1183.58</v>
      </c>
      <c r="AH30" s="83">
        <f t="shared" si="6"/>
        <v>2</v>
      </c>
      <c r="AI30" s="98">
        <f t="shared" ca="1" si="7"/>
        <v>-7.2371308545990498E-2</v>
      </c>
      <c r="AJ30" s="99">
        <f t="shared" ca="1" si="8"/>
        <v>-3.2926593066047172E-3</v>
      </c>
      <c r="AK30" s="76">
        <f>MAX(G$4:G30)</f>
        <v>1506.15</v>
      </c>
      <c r="AL30" s="17">
        <f ca="1">MIN(INDIRECT("g"&amp;ROW(AL30)-AM30):G30)</f>
        <v>1506.15</v>
      </c>
      <c r="AM30" s="17">
        <f t="shared" si="9"/>
        <v>0</v>
      </c>
      <c r="AN30" s="100" t="str">
        <f t="shared" ca="1" si="10"/>
        <v/>
      </c>
      <c r="AO30" s="101">
        <f t="shared" ca="1" si="11"/>
        <v>4.9998954288463127E-2</v>
      </c>
      <c r="AT30" s="87">
        <v>40118</v>
      </c>
      <c r="AU30" s="88">
        <v>4.8599999999999997E-2</v>
      </c>
      <c r="AV30" s="88">
        <v>-1.7999999999999999E-2</v>
      </c>
      <c r="AW30" s="88">
        <f t="shared" si="4"/>
        <v>-6.6599999999999993E-2</v>
      </c>
      <c r="AX30" s="230"/>
      <c r="AY30" s="231"/>
      <c r="AZ30" s="232"/>
    </row>
    <row r="31" spans="1:52" ht="13.5">
      <c r="A31" s="94">
        <v>39479</v>
      </c>
      <c r="B31" s="73">
        <v>-4.9500000000000002E-2</v>
      </c>
      <c r="C31" s="74">
        <v>2E-3</v>
      </c>
      <c r="D31" s="74">
        <v>1.2999999999999999E-2</v>
      </c>
      <c r="E31" s="75">
        <v>2.5000000000000001E-3</v>
      </c>
      <c r="F31" s="76">
        <v>1066.52</v>
      </c>
      <c r="G31" s="76">
        <v>1522.72</v>
      </c>
      <c r="H31" s="76">
        <v>2644.76</v>
      </c>
      <c r="I31" s="76">
        <v>1001.5</v>
      </c>
      <c r="J31" s="77">
        <v>0.57999999999999996</v>
      </c>
      <c r="K31" s="77">
        <v>0.55000000000000004</v>
      </c>
      <c r="L31" s="78">
        <f t="shared" si="0"/>
        <v>-0.55000000000000004</v>
      </c>
      <c r="M31" s="95">
        <f t="shared" si="1"/>
        <v>1.1299999999999999</v>
      </c>
      <c r="N31" s="95">
        <f t="shared" si="2"/>
        <v>2.9999999999999916E-2</v>
      </c>
      <c r="O31" s="80">
        <f>STDEV(B$5:B31)*SQRT(12)</f>
        <v>0.1377864245977041</v>
      </c>
      <c r="P31" s="80">
        <f>STDEV(C$5:C31)*SQRT(12)</f>
        <v>9.2728387488157316E-2</v>
      </c>
      <c r="Q31" s="82">
        <f t="shared" si="5"/>
        <v>1591.2313201681839</v>
      </c>
      <c r="R31" s="100">
        <f t="shared" si="13"/>
        <v>-3.3397681648041799E-2</v>
      </c>
      <c r="S31" s="100">
        <f t="shared" si="14"/>
        <v>0.18871489016221954</v>
      </c>
      <c r="T31" s="100">
        <f t="shared" si="15"/>
        <v>0.22211257181026134</v>
      </c>
      <c r="U31" s="88">
        <f>AVERAGE($N$5:$N31)</f>
        <v>1.4074074074074079E-2</v>
      </c>
      <c r="V31" s="98">
        <f t="shared" si="16"/>
        <v>-5.3188900402436636E-4</v>
      </c>
      <c r="W31" s="85">
        <f t="shared" si="17"/>
        <v>-4.7004144541688473E-4</v>
      </c>
      <c r="X31" s="85">
        <f t="shared" si="18"/>
        <v>0.18971682061166079</v>
      </c>
      <c r="Y31" s="100">
        <f t="shared" si="19"/>
        <v>0.19071875106110203</v>
      </c>
      <c r="Z31" s="115">
        <f t="shared" si="20"/>
        <v>-0.27888658092877344</v>
      </c>
      <c r="AA31" s="115">
        <f t="shared" si="21"/>
        <v>-0.24645790872775478</v>
      </c>
      <c r="AB31" s="115">
        <f t="shared" si="22"/>
        <v>99.474655510343482</v>
      </c>
      <c r="AC31" s="83">
        <f t="shared" si="23"/>
        <v>100</v>
      </c>
      <c r="AD31" s="100">
        <f t="shared" si="24"/>
        <v>-3.3397681648041799E-2</v>
      </c>
      <c r="AE31" s="100">
        <f t="shared" si="25"/>
        <v>0.18871489016221954</v>
      </c>
      <c r="AF31" s="82">
        <f>MAX(F$4:F31)</f>
        <v>1275.92</v>
      </c>
      <c r="AG31" s="83">
        <f ca="1">MIN(INDIRECT("f"&amp;ROW(AG31)-AH31):F31)</f>
        <v>1066.52</v>
      </c>
      <c r="AH31" s="83">
        <f t="shared" si="6"/>
        <v>3</v>
      </c>
      <c r="AI31" s="98">
        <f t="shared" ca="1" si="7"/>
        <v>-0.16411687253119323</v>
      </c>
      <c r="AJ31" s="99">
        <f t="shared" ca="1" si="8"/>
        <v>-9.8903327193768042E-2</v>
      </c>
      <c r="AK31" s="76">
        <f>MAX(G$4:G31)</f>
        <v>1522.72</v>
      </c>
      <c r="AL31" s="17">
        <f ca="1">MIN(INDIRECT("g"&amp;ROW(AL31)-AM31):G31)</f>
        <v>1522.72</v>
      </c>
      <c r="AM31" s="17">
        <f t="shared" si="9"/>
        <v>0</v>
      </c>
      <c r="AN31" s="100" t="str">
        <f t="shared" ca="1" si="10"/>
        <v/>
      </c>
      <c r="AO31" s="101">
        <f t="shared" ca="1" si="11"/>
        <v>1.100156026956145E-2</v>
      </c>
      <c r="AT31" s="87">
        <v>40148</v>
      </c>
      <c r="AU31" s="88">
        <v>5.8099999999999999E-2</v>
      </c>
      <c r="AV31" s="88">
        <v>2.3199999999999998E-2</v>
      </c>
      <c r="AW31" s="88">
        <f t="shared" si="4"/>
        <v>-3.49E-2</v>
      </c>
      <c r="AX31" s="233"/>
      <c r="AY31" s="234"/>
      <c r="AZ31" s="235"/>
    </row>
    <row r="32" spans="1:52" ht="13.5">
      <c r="A32" s="94">
        <v>39508</v>
      </c>
      <c r="B32" s="73">
        <v>3.3999999999999998E-3</v>
      </c>
      <c r="C32" s="74">
        <v>-3.1E-2</v>
      </c>
      <c r="D32" s="74">
        <v>-3.5000000000000003E-2</v>
      </c>
      <c r="E32" s="75">
        <v>0</v>
      </c>
      <c r="F32" s="76">
        <v>1013.73</v>
      </c>
      <c r="G32" s="76">
        <v>1525.77</v>
      </c>
      <c r="H32" s="76">
        <v>2679.15</v>
      </c>
      <c r="I32" s="76">
        <v>1004</v>
      </c>
      <c r="J32" s="77">
        <v>0.59</v>
      </c>
      <c r="K32" s="77">
        <v>0.59</v>
      </c>
      <c r="L32" s="78">
        <f t="shared" si="0"/>
        <v>-0.59</v>
      </c>
      <c r="M32" s="95">
        <f t="shared" si="1"/>
        <v>1.18</v>
      </c>
      <c r="N32" s="95">
        <f t="shared" si="2"/>
        <v>0</v>
      </c>
      <c r="O32" s="80">
        <f>STDEV(B$5:B32)*SQRT(12)</f>
        <v>0.13521786300703939</v>
      </c>
      <c r="P32" s="80">
        <f>STDEV(C$5:C32)*SQRT(12)</f>
        <v>9.6077239925728683E-2</v>
      </c>
      <c r="Q32" s="82">
        <f t="shared" si="5"/>
        <v>1593.9283224057572</v>
      </c>
      <c r="R32" s="100">
        <f t="shared" si="13"/>
        <v>-5.9811541243901978E-2</v>
      </c>
      <c r="S32" s="100">
        <f t="shared" si="14"/>
        <v>0.16888579045751229</v>
      </c>
      <c r="T32" s="100">
        <f t="shared" si="15"/>
        <v>0.22869733170141426</v>
      </c>
      <c r="U32" s="88">
        <f>AVERAGE($N$5:$N32)</f>
        <v>1.3571428571428576E-2</v>
      </c>
      <c r="V32" s="98">
        <f t="shared" si="16"/>
        <v>8.1172805973867002E-4</v>
      </c>
      <c r="W32" s="85">
        <f t="shared" si="17"/>
        <v>-8.1172805973867002E-4</v>
      </c>
      <c r="X32" s="85">
        <f t="shared" si="18"/>
        <v>0.16888579045751229</v>
      </c>
      <c r="Y32" s="100">
        <f t="shared" si="19"/>
        <v>0.17050924657698963</v>
      </c>
      <c r="Z32" s="115">
        <f t="shared" si="20"/>
        <v>0.4760610207565209</v>
      </c>
      <c r="AA32" s="115">
        <f t="shared" si="21"/>
        <v>-0.4760610207565209</v>
      </c>
      <c r="AB32" s="115">
        <f t="shared" si="22"/>
        <v>99.047877958486964</v>
      </c>
      <c r="AC32" s="83">
        <f t="shared" si="23"/>
        <v>100</v>
      </c>
      <c r="AD32" s="100">
        <f t="shared" si="24"/>
        <v>-5.9811541243901978E-2</v>
      </c>
      <c r="AE32" s="100">
        <f t="shared" si="25"/>
        <v>0.16888579045751229</v>
      </c>
      <c r="AF32" s="82">
        <f>MAX(F$4:F32)</f>
        <v>1275.92</v>
      </c>
      <c r="AG32" s="83">
        <f ca="1">MIN(INDIRECT("f"&amp;ROW(AG32)-AH32):F32)</f>
        <v>1013.73</v>
      </c>
      <c r="AH32" s="83">
        <f t="shared" si="6"/>
        <v>4</v>
      </c>
      <c r="AI32" s="98">
        <f t="shared" ca="1" si="7"/>
        <v>-0.20549093987083833</v>
      </c>
      <c r="AJ32" s="99">
        <f t="shared" ca="1" si="8"/>
        <v>-4.9497430896748296E-2</v>
      </c>
      <c r="AK32" s="76">
        <f>MAX(G$4:G32)</f>
        <v>1525.77</v>
      </c>
      <c r="AL32" s="17">
        <f ca="1">MIN(INDIRECT("g"&amp;ROW(AL32)-AM32):G32)</f>
        <v>1525.77</v>
      </c>
      <c r="AM32" s="17">
        <f t="shared" si="9"/>
        <v>0</v>
      </c>
      <c r="AN32" s="100" t="str">
        <f t="shared" ca="1" si="10"/>
        <v/>
      </c>
      <c r="AO32" s="101">
        <f t="shared" ca="1" si="11"/>
        <v>2.0029946411683763E-3</v>
      </c>
      <c r="AT32" s="87">
        <v>40210</v>
      </c>
      <c r="AU32" s="88">
        <v>4.2299999999999997E-2</v>
      </c>
      <c r="AV32" s="88">
        <v>-2.3599999999999999E-2</v>
      </c>
      <c r="AW32" s="88">
        <f t="shared" si="4"/>
        <v>-6.59E-2</v>
      </c>
    </row>
    <row r="33" spans="1:49" ht="13.5">
      <c r="A33" s="94">
        <v>39539</v>
      </c>
      <c r="B33" s="73">
        <v>5.8700000000000002E-2</v>
      </c>
      <c r="C33" s="74">
        <v>2.2000000000000001E-3</v>
      </c>
      <c r="D33" s="74">
        <v>-0.18820000000000001</v>
      </c>
      <c r="E33" s="75">
        <v>0</v>
      </c>
      <c r="F33" s="76">
        <v>1017.17</v>
      </c>
      <c r="G33" s="76">
        <v>1478.47</v>
      </c>
      <c r="H33" s="76">
        <v>2585.38</v>
      </c>
      <c r="I33" s="76">
        <v>1004</v>
      </c>
      <c r="J33" s="77">
        <v>0.52</v>
      </c>
      <c r="K33" s="77">
        <v>0.51</v>
      </c>
      <c r="L33" s="78">
        <f t="shared" si="0"/>
        <v>-0.51</v>
      </c>
      <c r="M33" s="95">
        <f t="shared" si="1"/>
        <v>1.03</v>
      </c>
      <c r="N33" s="95">
        <f t="shared" si="2"/>
        <v>1.0000000000000009E-2</v>
      </c>
      <c r="O33" s="80">
        <f>STDEV(B$5:B33)*SQRT(12)</f>
        <v>0.1378096910088713</v>
      </c>
      <c r="P33" s="80">
        <f>STDEV(C$5:C33)*SQRT(12)</f>
        <v>9.467276646089734E-2</v>
      </c>
      <c r="Q33" s="82">
        <f t="shared" si="5"/>
        <v>1545.9557224110208</v>
      </c>
      <c r="R33" s="100">
        <f t="shared" si="13"/>
        <v>-5.8785972055149571E-2</v>
      </c>
      <c r="S33" s="100">
        <f t="shared" si="14"/>
        <v>0.11077135752011613</v>
      </c>
      <c r="T33" s="100">
        <f t="shared" si="15"/>
        <v>0.1695573295752657</v>
      </c>
      <c r="U33" s="88">
        <f>AVERAGE($N$5:$N33)</f>
        <v>1.3448275862068969E-2</v>
      </c>
      <c r="V33" s="98">
        <f t="shared" si="16"/>
        <v>2.027102484660327E-4</v>
      </c>
      <c r="W33" s="85">
        <f t="shared" si="17"/>
        <v>-7.9056996901752895E-4</v>
      </c>
      <c r="X33" s="85">
        <f t="shared" si="18"/>
        <v>0.11135921724066762</v>
      </c>
      <c r="Y33" s="100">
        <f t="shared" si="19"/>
        <v>0.11235249745815118</v>
      </c>
      <c r="Z33" s="115">
        <f t="shared" si="20"/>
        <v>0.18042344678767624</v>
      </c>
      <c r="AA33" s="115">
        <f t="shared" si="21"/>
        <v>-0.70365144247193867</v>
      </c>
      <c r="AB33" s="115">
        <f t="shared" si="22"/>
        <v>99.115925110740392</v>
      </c>
      <c r="AC33" s="83">
        <f t="shared" si="23"/>
        <v>100</v>
      </c>
      <c r="AD33" s="100">
        <f t="shared" si="24"/>
        <v>-5.8785972055149571E-2</v>
      </c>
      <c r="AE33" s="100">
        <f t="shared" si="25"/>
        <v>0.11077135752011613</v>
      </c>
      <c r="AF33" s="82">
        <f>MAX(F$4:F33)</f>
        <v>1275.92</v>
      </c>
      <c r="AG33" s="83">
        <f ca="1">MIN(INDIRECT("f"&amp;ROW(AG33)-AH33):F33)</f>
        <v>1013.73</v>
      </c>
      <c r="AH33" s="83">
        <f t="shared" si="6"/>
        <v>5</v>
      </c>
      <c r="AI33" s="98" t="str">
        <f t="shared" ca="1" si="7"/>
        <v/>
      </c>
      <c r="AJ33" s="99">
        <f t="shared" ca="1" si="8"/>
        <v>0</v>
      </c>
      <c r="AK33" s="76">
        <f>MAX(G$4:G33)</f>
        <v>1525.77</v>
      </c>
      <c r="AL33" s="17">
        <f ca="1">MIN(INDIRECT("g"&amp;ROW(AL33)-AM33):G33)</f>
        <v>1478.47</v>
      </c>
      <c r="AM33" s="17">
        <f t="shared" si="9"/>
        <v>1</v>
      </c>
      <c r="AN33" s="100">
        <f t="shared" ca="1" si="10"/>
        <v>-3.1000740609659405E-2</v>
      </c>
      <c r="AO33" s="101">
        <f t="shared" ca="1" si="11"/>
        <v>-3.1000740609659405E-2</v>
      </c>
      <c r="AT33" s="87">
        <v>40238</v>
      </c>
      <c r="AU33" s="88">
        <v>7.1400000000000005E-2</v>
      </c>
      <c r="AV33" s="88">
        <v>-2.3599999999999999E-2</v>
      </c>
      <c r="AW33" s="88">
        <f t="shared" si="4"/>
        <v>-9.5000000000000001E-2</v>
      </c>
    </row>
    <row r="34" spans="1:49" ht="13.5">
      <c r="A34" s="94">
        <v>39569</v>
      </c>
      <c r="B34" s="73">
        <v>4.5499999999999999E-2</v>
      </c>
      <c r="C34" s="74">
        <v>-6.0000000000000001E-3</v>
      </c>
      <c r="D34" s="74">
        <v>-0.1424</v>
      </c>
      <c r="E34" s="75">
        <v>1.2999999999999999E-3</v>
      </c>
      <c r="F34" s="76">
        <v>1076.8800000000001</v>
      </c>
      <c r="G34" s="76">
        <v>1481.72</v>
      </c>
      <c r="H34" s="76">
        <v>2098.81</v>
      </c>
      <c r="I34" s="76">
        <v>1004</v>
      </c>
      <c r="J34" s="77">
        <v>0.6</v>
      </c>
      <c r="K34" s="77">
        <v>0.57999999999999996</v>
      </c>
      <c r="L34" s="78">
        <f t="shared" si="0"/>
        <v>-0.57999999999999996</v>
      </c>
      <c r="M34" s="95">
        <f t="shared" si="1"/>
        <v>1.18</v>
      </c>
      <c r="N34" s="95">
        <f t="shared" si="2"/>
        <v>2.0000000000000018E-2</v>
      </c>
      <c r="O34" s="80">
        <f>STDEV(B$5:B34)*SQRT(12)</f>
        <v>0.13801378042140172</v>
      </c>
      <c r="P34" s="80">
        <f>STDEV(C$5:C34)*SQRT(12)</f>
        <v>9.3881898662903751E-2</v>
      </c>
      <c r="Q34" s="82">
        <f t="shared" si="5"/>
        <v>1548.8380127409396</v>
      </c>
      <c r="R34" s="100">
        <f t="shared" si="13"/>
        <v>-4.4336374285612656E-2</v>
      </c>
      <c r="S34" s="100">
        <f t="shared" si="14"/>
        <v>0.11099280942347911</v>
      </c>
      <c r="T34" s="100">
        <f t="shared" si="15"/>
        <v>0.15532918370909177</v>
      </c>
      <c r="U34" s="88">
        <f>AVERAGE($N$5:$N34)</f>
        <v>1.3666666666666671E-2</v>
      </c>
      <c r="V34" s="98">
        <f t="shared" si="16"/>
        <v>-2.8079703714221411E-4</v>
      </c>
      <c r="W34" s="85">
        <f t="shared" si="17"/>
        <v>-6.059304485700398E-4</v>
      </c>
      <c r="X34" s="85">
        <f t="shared" si="18"/>
        <v>0.11187953690919136</v>
      </c>
      <c r="Y34" s="100">
        <f t="shared" si="19"/>
        <v>0.11276626439490361</v>
      </c>
      <c r="Z34" s="115">
        <f t="shared" si="20"/>
        <v>-0.24900801551683266</v>
      </c>
      <c r="AA34" s="115">
        <f t="shared" si="21"/>
        <v>-0.53733308611526942</v>
      </c>
      <c r="AB34" s="115">
        <f t="shared" si="22"/>
        <v>99.213658898367896</v>
      </c>
      <c r="AC34" s="83">
        <f t="shared" si="23"/>
        <v>100</v>
      </c>
      <c r="AD34" s="100">
        <f t="shared" si="24"/>
        <v>-4.4336374285612656E-2</v>
      </c>
      <c r="AE34" s="100">
        <f t="shared" si="25"/>
        <v>0.11099280942347911</v>
      </c>
      <c r="AF34" s="82">
        <f>MAX(F$4:F34)</f>
        <v>1275.92</v>
      </c>
      <c r="AG34" s="83">
        <f ca="1">MIN(INDIRECT("f"&amp;ROW(AG34)-AH34):F34)</f>
        <v>1013.73</v>
      </c>
      <c r="AH34" s="83">
        <f t="shared" si="6"/>
        <v>6</v>
      </c>
      <c r="AI34" s="98" t="str">
        <f t="shared" ca="1" si="7"/>
        <v/>
      </c>
      <c r="AJ34" s="99">
        <f t="shared" ca="1" si="8"/>
        <v>0</v>
      </c>
      <c r="AK34" s="76">
        <f>MAX(G$4:G34)</f>
        <v>1525.77</v>
      </c>
      <c r="AL34" s="17">
        <f ca="1">MIN(INDIRECT("g"&amp;ROW(AL34)-AM34):G34)</f>
        <v>1478.47</v>
      </c>
      <c r="AM34" s="17">
        <f t="shared" si="9"/>
        <v>2</v>
      </c>
      <c r="AN34" s="100" t="str">
        <f t="shared" ca="1" si="10"/>
        <v/>
      </c>
      <c r="AO34" s="101">
        <f t="shared" ca="1" si="11"/>
        <v>0</v>
      </c>
      <c r="AT34" s="87">
        <v>40269</v>
      </c>
      <c r="AU34" s="88">
        <v>2.64E-2</v>
      </c>
      <c r="AV34" s="88">
        <v>2.9399999999999999E-2</v>
      </c>
      <c r="AW34" s="88">
        <f t="shared" si="4"/>
        <v>2.9999999999999992E-3</v>
      </c>
    </row>
    <row r="35" spans="1:49" ht="13.5">
      <c r="A35" s="94">
        <v>39600</v>
      </c>
      <c r="B35" s="73">
        <v>-9.0999999999999998E-2</v>
      </c>
      <c r="C35" s="74">
        <v>-1.7100000000000001E-2</v>
      </c>
      <c r="D35" s="74">
        <v>0.34320000000000001</v>
      </c>
      <c r="E35" s="75">
        <v>1.6999999999999999E-3</v>
      </c>
      <c r="F35" s="76">
        <v>1125.8800000000001</v>
      </c>
      <c r="G35" s="76">
        <v>1472.83</v>
      </c>
      <c r="H35" s="76">
        <v>1799.94</v>
      </c>
      <c r="I35" s="76">
        <v>1005.3</v>
      </c>
      <c r="J35" s="77">
        <v>0.49</v>
      </c>
      <c r="K35" s="77">
        <v>0.5</v>
      </c>
      <c r="L35" s="78">
        <f t="shared" si="0"/>
        <v>-0.5</v>
      </c>
      <c r="M35" s="95">
        <f t="shared" si="1"/>
        <v>0.99</v>
      </c>
      <c r="N35" s="95">
        <f t="shared" si="2"/>
        <v>-1.0000000000000009E-2</v>
      </c>
      <c r="O35" s="80">
        <f>STDEV(B$5:B35)*SQRT(12)</f>
        <v>0.14819265490482966</v>
      </c>
      <c r="P35" s="80">
        <f>STDEV(C$5:C35)*SQRT(12)</f>
        <v>9.422559613895759E-2</v>
      </c>
      <c r="Q35" s="82">
        <f t="shared" si="5"/>
        <v>1539.4511156940248</v>
      </c>
      <c r="R35" s="100">
        <f t="shared" si="13"/>
        <v>-3.1367758143056035E-2</v>
      </c>
      <c r="S35" s="100">
        <f t="shared" si="14"/>
        <v>0.11210697997523345</v>
      </c>
      <c r="T35" s="100">
        <f t="shared" si="15"/>
        <v>0.14347473811828948</v>
      </c>
      <c r="U35" s="88">
        <f>AVERAGE($N$5:$N35)</f>
        <v>1.2903225806451616E-2</v>
      </c>
      <c r="V35" s="98">
        <f t="shared" si="16"/>
        <v>7.1842284779257413E-4</v>
      </c>
      <c r="W35" s="85">
        <f t="shared" si="17"/>
        <v>-4.0474526636201347E-4</v>
      </c>
      <c r="X35" s="85">
        <f t="shared" si="18"/>
        <v>0.11179330239380289</v>
      </c>
      <c r="Y35" s="100">
        <f t="shared" si="19"/>
        <v>0.11291647050795747</v>
      </c>
      <c r="Z35" s="115">
        <f t="shared" si="20"/>
        <v>0.63624274170165929</v>
      </c>
      <c r="AA35" s="115">
        <f t="shared" si="21"/>
        <v>-0.35844661504318825</v>
      </c>
      <c r="AB35" s="115">
        <f t="shared" si="22"/>
        <v>99.005310643255157</v>
      </c>
      <c r="AC35" s="83">
        <f t="shared" si="23"/>
        <v>100.00000000000001</v>
      </c>
      <c r="AD35" s="100">
        <f t="shared" si="24"/>
        <v>-3.1367758143056035E-2</v>
      </c>
      <c r="AE35" s="100">
        <f t="shared" si="25"/>
        <v>0.11210697997523345</v>
      </c>
      <c r="AF35" s="82">
        <f>MAX(F$4:F35)</f>
        <v>1275.92</v>
      </c>
      <c r="AG35" s="83">
        <f ca="1">MIN(INDIRECT("f"&amp;ROW(AG35)-AH35):F35)</f>
        <v>1013.73</v>
      </c>
      <c r="AH35" s="83">
        <f t="shared" si="6"/>
        <v>7</v>
      </c>
      <c r="AI35" s="98" t="str">
        <f t="shared" ca="1" si="7"/>
        <v/>
      </c>
      <c r="AJ35" s="99">
        <f t="shared" ca="1" si="8"/>
        <v>0</v>
      </c>
      <c r="AK35" s="76">
        <f>MAX(G$4:G35)</f>
        <v>1525.77</v>
      </c>
      <c r="AL35" s="17">
        <f ca="1">MIN(INDIRECT("g"&amp;ROW(AL35)-AM35):G35)</f>
        <v>1472.83</v>
      </c>
      <c r="AM35" s="17">
        <f t="shared" si="9"/>
        <v>3</v>
      </c>
      <c r="AN35" s="100">
        <f t="shared" ca="1" si="10"/>
        <v>-3.4697234838802715E-2</v>
      </c>
      <c r="AO35" s="101">
        <f t="shared" ca="1" si="11"/>
        <v>-3.8147544420922275E-3</v>
      </c>
      <c r="AT35" s="87">
        <v>40360</v>
      </c>
      <c r="AU35" s="88">
        <v>6.9000000000000006E-2</v>
      </c>
      <c r="AV35" s="88">
        <v>1.8E-3</v>
      </c>
      <c r="AW35" s="88">
        <f t="shared" si="4"/>
        <v>-6.720000000000001E-2</v>
      </c>
    </row>
    <row r="36" spans="1:49" ht="13.5">
      <c r="A36" s="94">
        <v>39630</v>
      </c>
      <c r="B36" s="73">
        <v>1.4200000000000001E-2</v>
      </c>
      <c r="C36" s="74">
        <v>2.5999999999999999E-2</v>
      </c>
      <c r="D36" s="74">
        <v>-9.98E-2</v>
      </c>
      <c r="E36" s="75">
        <v>1.6999999999999999E-3</v>
      </c>
      <c r="F36" s="76">
        <v>1023.42</v>
      </c>
      <c r="G36" s="76">
        <v>1447.65</v>
      </c>
      <c r="H36" s="76">
        <v>2417.6799999999998</v>
      </c>
      <c r="I36" s="76">
        <v>1007.01</v>
      </c>
      <c r="J36" s="77">
        <v>0.55000000000000004</v>
      </c>
      <c r="K36" s="77">
        <v>0.54</v>
      </c>
      <c r="L36" s="78">
        <f t="shared" si="0"/>
        <v>-0.54</v>
      </c>
      <c r="M36" s="95">
        <f t="shared" si="1"/>
        <v>1.0900000000000001</v>
      </c>
      <c r="N36" s="95">
        <f t="shared" si="2"/>
        <v>1.0000000000000009E-2</v>
      </c>
      <c r="O36" s="80">
        <f>STDEV(B$5:B36)*SQRT(12)</f>
        <v>0.14598523842741662</v>
      </c>
      <c r="P36" s="80">
        <f>STDEV(C$5:C36)*SQRT(12)</f>
        <v>9.3069588948790236E-2</v>
      </c>
      <c r="Q36" s="82">
        <f t="shared" si="5"/>
        <v>1515.300093603779</v>
      </c>
      <c r="R36" s="100">
        <f t="shared" si="13"/>
        <v>-0.11907795069549654</v>
      </c>
      <c r="S36" s="100">
        <f t="shared" si="14"/>
        <v>6.3322658361734563E-2</v>
      </c>
      <c r="T36" s="100">
        <f t="shared" si="15"/>
        <v>0.1824006090572311</v>
      </c>
      <c r="U36" s="88">
        <f>AVERAGE($N$5:$N36)</f>
        <v>1.2812500000000004E-2</v>
      </c>
      <c r="V36" s="98">
        <f t="shared" si="16"/>
        <v>3.349067363310835E-4</v>
      </c>
      <c r="W36" s="85">
        <f t="shared" si="17"/>
        <v>-1.52568624328605E-3</v>
      </c>
      <c r="X36" s="85">
        <f t="shared" si="18"/>
        <v>6.451343786868953E-2</v>
      </c>
      <c r="Y36" s="100">
        <f t="shared" si="19"/>
        <v>6.6374030848306662E-2</v>
      </c>
      <c r="Z36" s="115">
        <f t="shared" si="20"/>
        <v>0.50457495507013894</v>
      </c>
      <c r="AA36" s="115">
        <f t="shared" si="21"/>
        <v>-2.2986192397639709</v>
      </c>
      <c r="AB36" s="115">
        <f t="shared" si="22"/>
        <v>97.196805805165894</v>
      </c>
      <c r="AC36" s="83">
        <f t="shared" si="23"/>
        <v>100</v>
      </c>
      <c r="AD36" s="100">
        <f t="shared" si="24"/>
        <v>-0.11907795069549654</v>
      </c>
      <c r="AE36" s="100">
        <f t="shared" si="25"/>
        <v>6.3322658361734563E-2</v>
      </c>
      <c r="AF36" s="82">
        <f>MAX(F$4:F36)</f>
        <v>1275.92</v>
      </c>
      <c r="AG36" s="83">
        <f ca="1">MIN(INDIRECT("f"&amp;ROW(AG36)-AH36):F36)</f>
        <v>1013.73</v>
      </c>
      <c r="AH36" s="83">
        <f t="shared" si="6"/>
        <v>8</v>
      </c>
      <c r="AI36" s="98" t="str">
        <f t="shared" ca="1" si="7"/>
        <v/>
      </c>
      <c r="AJ36" s="99">
        <f t="shared" ca="1" si="8"/>
        <v>0</v>
      </c>
      <c r="AK36" s="76">
        <f>MAX(G$4:G36)</f>
        <v>1525.77</v>
      </c>
      <c r="AL36" s="17">
        <f ca="1">MIN(INDIRECT("g"&amp;ROW(AL36)-AM36):G36)</f>
        <v>1447.65</v>
      </c>
      <c r="AM36" s="17">
        <f t="shared" si="9"/>
        <v>4</v>
      </c>
      <c r="AN36" s="100">
        <f t="shared" ca="1" si="10"/>
        <v>-5.1200377514304174E-2</v>
      </c>
      <c r="AO36" s="101">
        <f t="shared" ca="1" si="11"/>
        <v>-1.7096338341831552E-2</v>
      </c>
      <c r="AT36" s="87">
        <v>40422</v>
      </c>
      <c r="AU36" s="88">
        <v>0.12039999999999999</v>
      </c>
      <c r="AV36" s="88">
        <v>1.2999999999999999E-2</v>
      </c>
      <c r="AW36" s="88">
        <f t="shared" si="4"/>
        <v>-0.1074</v>
      </c>
    </row>
    <row r="37" spans="1:49" ht="13.5">
      <c r="A37" s="94">
        <v>39661</v>
      </c>
      <c r="B37" s="73">
        <v>1.7999999999999999E-2</v>
      </c>
      <c r="C37" s="74">
        <v>1.83E-2</v>
      </c>
      <c r="D37" s="74">
        <v>-9.98E-2</v>
      </c>
      <c r="E37" s="75">
        <v>1.6999999999999999E-3</v>
      </c>
      <c r="F37" s="76">
        <v>1037.96</v>
      </c>
      <c r="G37" s="76">
        <v>1485.28</v>
      </c>
      <c r="H37" s="76">
        <v>2176.39</v>
      </c>
      <c r="I37" s="76">
        <v>1008.72</v>
      </c>
      <c r="J37" s="77">
        <v>0.55000000000000004</v>
      </c>
      <c r="K37" s="77">
        <v>0.53</v>
      </c>
      <c r="L37" s="78">
        <f t="shared" ref="L37:L63" si="26">-K37</f>
        <v>-0.53</v>
      </c>
      <c r="M37" s="95">
        <f t="shared" ref="M37:M63" si="27">J37+K37</f>
        <v>1.08</v>
      </c>
      <c r="N37" s="95">
        <f t="shared" ref="N37:N63" si="28">J37-K37</f>
        <v>2.0000000000000018E-2</v>
      </c>
      <c r="O37" s="80">
        <f>STDEV(B$5:B37)*SQRT(12)</f>
        <v>0.14400792355094405</v>
      </c>
      <c r="P37" s="80">
        <f>STDEV(C$5:C37)*SQRT(12)</f>
        <v>9.1664402726864103E-2</v>
      </c>
      <c r="Q37" s="82">
        <f t="shared" si="5"/>
        <v>1551.7795403016478</v>
      </c>
      <c r="R37" s="100">
        <f t="shared" si="13"/>
        <v>-8.6552085258424172E-2</v>
      </c>
      <c r="S37" s="100">
        <f t="shared" si="14"/>
        <v>5.610898981064727E-2</v>
      </c>
      <c r="T37" s="100">
        <f t="shared" si="15"/>
        <v>0.14266107506907144</v>
      </c>
      <c r="U37" s="88">
        <f>AVERAGE($N$5:$N37)</f>
        <v>1.3030303030303034E-2</v>
      </c>
      <c r="V37" s="98">
        <f t="shared" si="16"/>
        <v>-6.032418063465939E-4</v>
      </c>
      <c r="W37" s="85">
        <f t="shared" si="17"/>
        <v>-1.1277998988218911E-3</v>
      </c>
      <c r="X37" s="85">
        <f t="shared" si="18"/>
        <v>5.7840031515815751E-2</v>
      </c>
      <c r="Y37" s="100">
        <f t="shared" si="19"/>
        <v>5.9571073220984233E-2</v>
      </c>
      <c r="Z37" s="115">
        <f t="shared" si="20"/>
        <v>-1.0126421662890215</v>
      </c>
      <c r="AA37" s="115">
        <f t="shared" si="21"/>
        <v>-1.8932005717577329</v>
      </c>
      <c r="AB37" s="115">
        <f t="shared" si="22"/>
        <v>97.094157261953256</v>
      </c>
      <c r="AC37" s="83">
        <f t="shared" si="23"/>
        <v>100.00000000000001</v>
      </c>
      <c r="AD37" s="100">
        <f t="shared" si="24"/>
        <v>-8.6552085258424172E-2</v>
      </c>
      <c r="AE37" s="100">
        <f t="shared" si="25"/>
        <v>5.610898981064727E-2</v>
      </c>
      <c r="AF37" s="82">
        <f>MAX(F$4:F37)</f>
        <v>1275.92</v>
      </c>
      <c r="AG37" s="83">
        <f ca="1">MIN(INDIRECT("f"&amp;ROW(AG37)-AH37):F37)</f>
        <v>1013.73</v>
      </c>
      <c r="AH37" s="83">
        <f t="shared" si="6"/>
        <v>9</v>
      </c>
      <c r="AI37" s="98" t="str">
        <f t="shared" ca="1" si="7"/>
        <v/>
      </c>
      <c r="AJ37" s="99">
        <f t="shared" ca="1" si="8"/>
        <v>0</v>
      </c>
      <c r="AK37" s="76">
        <f>MAX(G$4:G37)</f>
        <v>1525.77</v>
      </c>
      <c r="AL37" s="17">
        <f ca="1">MIN(INDIRECT("g"&amp;ROW(AL37)-AM37):G37)</f>
        <v>1447.65</v>
      </c>
      <c r="AM37" s="17">
        <f t="shared" si="9"/>
        <v>5</v>
      </c>
      <c r="AN37" s="100" t="str">
        <f t="shared" ca="1" si="10"/>
        <v/>
      </c>
      <c r="AO37" s="101">
        <f t="shared" ca="1" si="11"/>
        <v>0</v>
      </c>
      <c r="AT37" s="87">
        <v>40452</v>
      </c>
      <c r="AU37" s="88">
        <v>5.8599999999999999E-2</v>
      </c>
      <c r="AV37" s="88">
        <v>2.07E-2</v>
      </c>
      <c r="AW37" s="88">
        <f t="shared" si="4"/>
        <v>-3.7900000000000003E-2</v>
      </c>
    </row>
    <row r="38" spans="1:49" ht="13.5">
      <c r="A38" s="94">
        <v>39692</v>
      </c>
      <c r="B38" s="73">
        <v>-0.1164</v>
      </c>
      <c r="C38" s="74">
        <v>-3.3000000000000002E-2</v>
      </c>
      <c r="D38" s="74">
        <v>0.90649999999999997</v>
      </c>
      <c r="E38" s="75">
        <v>1.6999999999999999E-3</v>
      </c>
      <c r="F38" s="76">
        <v>1056.6400000000001</v>
      </c>
      <c r="G38" s="76">
        <v>1512.47</v>
      </c>
      <c r="H38" s="76">
        <v>1959.19</v>
      </c>
      <c r="I38" s="76">
        <v>1010.44</v>
      </c>
      <c r="J38" s="77">
        <v>0.54</v>
      </c>
      <c r="K38" s="77">
        <v>0.53</v>
      </c>
      <c r="L38" s="78">
        <f t="shared" si="26"/>
        <v>-0.53</v>
      </c>
      <c r="M38" s="95">
        <f t="shared" si="27"/>
        <v>1.07</v>
      </c>
      <c r="N38" s="95">
        <f t="shared" si="28"/>
        <v>1.0000000000000009E-2</v>
      </c>
      <c r="O38" s="80">
        <f>STDEV(B$5:B38)*SQRT(12)</f>
        <v>0.15843529288667207</v>
      </c>
      <c r="P38" s="80">
        <f>STDEV(C$5:C38)*SQRT(12)</f>
        <v>9.4301117997693834E-2</v>
      </c>
      <c r="Q38" s="82">
        <f t="shared" ref="Q38:Q63" si="29">Q37*(1+(C37/M38))</f>
        <v>1578.319321224564</v>
      </c>
      <c r="R38" s="100">
        <f t="shared" si="13"/>
        <v>-8.8081470613618706E-2</v>
      </c>
      <c r="S38" s="100">
        <f t="shared" si="14"/>
        <v>7.0093391821140383E-2</v>
      </c>
      <c r="T38" s="100">
        <f t="shared" si="15"/>
        <v>0.15817486243475909</v>
      </c>
      <c r="U38" s="88">
        <f>AVERAGE($N$5:$N38)</f>
        <v>1.2941176470588241E-2</v>
      </c>
      <c r="V38" s="98">
        <f t="shared" si="16"/>
        <v>2.5906314886358413E-4</v>
      </c>
      <c r="W38" s="85">
        <f t="shared" si="17"/>
        <v>-1.139877854999772E-3</v>
      </c>
      <c r="X38" s="85">
        <f t="shared" si="18"/>
        <v>7.0974206527276568E-2</v>
      </c>
      <c r="Y38" s="100">
        <f t="shared" si="19"/>
        <v>7.2373147531139922E-2</v>
      </c>
      <c r="Z38" s="115">
        <f t="shared" si="20"/>
        <v>0.35795479083194121</v>
      </c>
      <c r="AA38" s="115">
        <f t="shared" si="21"/>
        <v>-1.575001079660544</v>
      </c>
      <c r="AB38" s="115">
        <f t="shared" si="22"/>
        <v>98.067044129507522</v>
      </c>
      <c r="AC38" s="83">
        <f t="shared" si="23"/>
        <v>100</v>
      </c>
      <c r="AD38" s="100">
        <f t="shared" si="24"/>
        <v>-8.8081470613618706E-2</v>
      </c>
      <c r="AE38" s="100">
        <f t="shared" si="25"/>
        <v>7.0093391821140383E-2</v>
      </c>
      <c r="AF38" s="82">
        <f>MAX(F$4:F38)</f>
        <v>1275.92</v>
      </c>
      <c r="AG38" s="83">
        <f ca="1">MIN(INDIRECT("f"&amp;ROW(AG38)-AH38):F38)</f>
        <v>1013.73</v>
      </c>
      <c r="AH38" s="83">
        <f t="shared" ref="AH38:AH63" si="30">IF(AF38=AF37,IF(AF38=0,0,1+AH37),0)</f>
        <v>10</v>
      </c>
      <c r="AI38" s="98" t="str">
        <f t="shared" ref="AI38:AI63" ca="1" si="31">IF(AG37&lt;=AG38,"",AG38/AF38-1)</f>
        <v/>
      </c>
      <c r="AJ38" s="99">
        <f t="shared" ref="AJ38:AJ63" ca="1" si="32">AG38/AG37-1</f>
        <v>0</v>
      </c>
      <c r="AK38" s="76">
        <f>MAX(G$4:G38)</f>
        <v>1525.77</v>
      </c>
      <c r="AL38" s="17">
        <f ca="1">MIN(INDIRECT("g"&amp;ROW(AL38)-AM38):G38)</f>
        <v>1447.65</v>
      </c>
      <c r="AM38" s="17">
        <f t="shared" ref="AM38:AM63" si="33">IF(AK38=AK37,IF(AK38=0,0,1+AM37),0)</f>
        <v>6</v>
      </c>
      <c r="AN38" s="100" t="str">
        <f t="shared" ref="AN38:AN63" ca="1" si="34">IF(AL37&lt;=AL38,"",AL38/AK38-1)</f>
        <v/>
      </c>
      <c r="AO38" s="101">
        <f t="shared" ref="AO38:AO63" ca="1" si="35">AL38/AL37-1</f>
        <v>0</v>
      </c>
    </row>
    <row r="39" spans="1:49" ht="13.5">
      <c r="A39" s="94">
        <v>39722</v>
      </c>
      <c r="B39" s="73">
        <v>-0.17730000000000001</v>
      </c>
      <c r="C39" s="74">
        <v>3.7999999999999999E-2</v>
      </c>
      <c r="D39" s="74">
        <v>0.52039999999999997</v>
      </c>
      <c r="E39" s="75">
        <v>8.0000000000000004E-4</v>
      </c>
      <c r="F39" s="76">
        <v>933.65</v>
      </c>
      <c r="G39" s="76">
        <v>1462.55</v>
      </c>
      <c r="H39" s="76">
        <v>3735.2</v>
      </c>
      <c r="I39" s="76">
        <v>1012.16</v>
      </c>
      <c r="J39" s="77">
        <v>0.41</v>
      </c>
      <c r="K39" s="77">
        <v>0.39</v>
      </c>
      <c r="L39" s="78">
        <f t="shared" si="26"/>
        <v>-0.39</v>
      </c>
      <c r="M39" s="95">
        <f t="shared" si="27"/>
        <v>0.8</v>
      </c>
      <c r="N39" s="95">
        <f t="shared" si="28"/>
        <v>1.9999999999999962E-2</v>
      </c>
      <c r="O39" s="80">
        <f>STDEV(B$5:B39)*SQRT(12)</f>
        <v>0.18714590793587463</v>
      </c>
      <c r="P39" s="80">
        <f>STDEV(C$5:C39)*SQRT(12)</f>
        <v>9.4182101816220956E-2</v>
      </c>
      <c r="Q39" s="82">
        <f t="shared" si="29"/>
        <v>1513.2136492240506</v>
      </c>
      <c r="R39" s="100">
        <f t="shared" si="13"/>
        <v>-0.22559159941275519</v>
      </c>
      <c r="S39" s="100">
        <f t="shared" si="14"/>
        <v>2.0485769507183171E-2</v>
      </c>
      <c r="T39" s="100">
        <f t="shared" si="15"/>
        <v>0.24607736891993837</v>
      </c>
      <c r="U39" s="88">
        <f>AVERAGE($N$5:$N39)</f>
        <v>1.3142857142857147E-2</v>
      </c>
      <c r="V39" s="98">
        <f t="shared" si="16"/>
        <v>-1.5469138245445976E-3</v>
      </c>
      <c r="W39" s="85">
        <f t="shared" si="17"/>
        <v>-2.9649181637104978E-3</v>
      </c>
      <c r="X39" s="85">
        <f t="shared" si="18"/>
        <v>2.4997601495438268E-2</v>
      </c>
      <c r="Y39" s="100">
        <f t="shared" si="19"/>
        <v>2.9509433483693365E-2</v>
      </c>
      <c r="Z39" s="115">
        <f t="shared" si="20"/>
        <v>-5.2420993625628478</v>
      </c>
      <c r="AA39" s="115">
        <f t="shared" si="21"/>
        <v>-10.047357111578856</v>
      </c>
      <c r="AB39" s="115">
        <f t="shared" si="22"/>
        <v>84.710543525858299</v>
      </c>
      <c r="AC39" s="83">
        <f t="shared" si="23"/>
        <v>100.00000000000001</v>
      </c>
      <c r="AD39" s="100">
        <f t="shared" si="24"/>
        <v>-0.22559159941275519</v>
      </c>
      <c r="AE39" s="100">
        <f t="shared" si="25"/>
        <v>2.0485769507183171E-2</v>
      </c>
      <c r="AF39" s="82">
        <f>MAX(F$4:F39)</f>
        <v>1275.92</v>
      </c>
      <c r="AG39" s="83">
        <f ca="1">MIN(INDIRECT("f"&amp;ROW(AG39)-AH39):F39)</f>
        <v>933.65</v>
      </c>
      <c r="AH39" s="83">
        <f t="shared" si="30"/>
        <v>11</v>
      </c>
      <c r="AI39" s="98">
        <f t="shared" ca="1" si="31"/>
        <v>-0.26825349551696032</v>
      </c>
      <c r="AJ39" s="99">
        <f t="shared" ca="1" si="32"/>
        <v>-7.89953932506684E-2</v>
      </c>
      <c r="AK39" s="76">
        <f>MAX(G$4:G39)</f>
        <v>1525.77</v>
      </c>
      <c r="AL39" s="17">
        <f ca="1">MIN(INDIRECT("g"&amp;ROW(AL39)-AM39):G39)</f>
        <v>1447.65</v>
      </c>
      <c r="AM39" s="17">
        <f t="shared" si="33"/>
        <v>7</v>
      </c>
      <c r="AN39" s="100" t="str">
        <f t="shared" ca="1" si="34"/>
        <v/>
      </c>
      <c r="AO39" s="101">
        <f t="shared" ca="1" si="35"/>
        <v>0</v>
      </c>
      <c r="AT39" s="88"/>
    </row>
    <row r="40" spans="1:49" ht="13.5">
      <c r="A40" s="94">
        <v>39753</v>
      </c>
      <c r="B40" s="73">
        <v>-0.1077</v>
      </c>
      <c r="C40" s="74">
        <v>-7.0000000000000001E-3</v>
      </c>
      <c r="D40" s="74">
        <v>-7.6999999999999999E-2</v>
      </c>
      <c r="E40" s="75">
        <v>8.0000000000000004E-4</v>
      </c>
      <c r="F40" s="76">
        <v>768.11</v>
      </c>
      <c r="G40" s="76">
        <v>1518.13</v>
      </c>
      <c r="H40" s="76">
        <v>5678.99</v>
      </c>
      <c r="I40" s="76">
        <v>1012.97</v>
      </c>
      <c r="J40" s="77">
        <v>0.4</v>
      </c>
      <c r="K40" s="77">
        <v>0.38</v>
      </c>
      <c r="L40" s="78">
        <f t="shared" si="26"/>
        <v>-0.38</v>
      </c>
      <c r="M40" s="95">
        <f t="shared" si="27"/>
        <v>0.78</v>
      </c>
      <c r="N40" s="95">
        <f t="shared" si="28"/>
        <v>2.0000000000000018E-2</v>
      </c>
      <c r="O40" s="80">
        <f>STDEV(B$5:B40)*SQRT(12)</f>
        <v>0.19357160358452816</v>
      </c>
      <c r="P40" s="80">
        <f>STDEV(C$5:C40)*SQRT(12)</f>
        <v>9.3496439962783021E-2</v>
      </c>
      <c r="Q40" s="82">
        <f t="shared" si="29"/>
        <v>1586.934314186248</v>
      </c>
      <c r="R40" s="100">
        <f t="shared" si="13"/>
        <v>-0.39799517211110413</v>
      </c>
      <c r="S40" s="100">
        <f t="shared" si="14"/>
        <v>9.9624073765564036E-2</v>
      </c>
      <c r="T40" s="100">
        <f t="shared" si="15"/>
        <v>0.49761924587666817</v>
      </c>
      <c r="U40" s="88">
        <f>AVERAGE($N$5:$N40)</f>
        <v>1.3333333333333338E-2</v>
      </c>
      <c r="V40" s="98">
        <f t="shared" si="16"/>
        <v>-2.6533011474073661E-3</v>
      </c>
      <c r="W40" s="85">
        <f t="shared" si="17"/>
        <v>-5.3066022948147235E-3</v>
      </c>
      <c r="X40" s="85">
        <f t="shared" si="18"/>
        <v>0.10758397720778612</v>
      </c>
      <c r="Y40" s="100">
        <f t="shared" si="19"/>
        <v>0.1155438806500082</v>
      </c>
      <c r="Z40" s="115">
        <f t="shared" si="20"/>
        <v>-2.2963580005110189</v>
      </c>
      <c r="AA40" s="115">
        <f t="shared" si="21"/>
        <v>-4.5927160010220298</v>
      </c>
      <c r="AB40" s="115">
        <f t="shared" si="22"/>
        <v>93.110925998466954</v>
      </c>
      <c r="AC40" s="83">
        <f t="shared" si="23"/>
        <v>100</v>
      </c>
      <c r="AD40" s="100">
        <f t="shared" si="24"/>
        <v>-0.39799517211110413</v>
      </c>
      <c r="AE40" s="100">
        <f t="shared" si="25"/>
        <v>9.9624073765564036E-2</v>
      </c>
      <c r="AF40" s="82">
        <f>MAX(F$4:F40)</f>
        <v>1275.92</v>
      </c>
      <c r="AG40" s="83">
        <f ca="1">MIN(INDIRECT("f"&amp;ROW(AG40)-AH40):F40)</f>
        <v>768.11</v>
      </c>
      <c r="AH40" s="83">
        <f t="shared" si="30"/>
        <v>12</v>
      </c>
      <c r="AI40" s="98">
        <f t="shared" ca="1" si="31"/>
        <v>-0.39799517211110413</v>
      </c>
      <c r="AJ40" s="99">
        <f t="shared" ca="1" si="32"/>
        <v>-0.17730412895624692</v>
      </c>
      <c r="AK40" s="76">
        <f>MAX(G$4:G40)</f>
        <v>1525.77</v>
      </c>
      <c r="AL40" s="17">
        <f ca="1">MIN(INDIRECT("g"&amp;ROW(AL40)-AM40):G40)</f>
        <v>1447.65</v>
      </c>
      <c r="AM40" s="17">
        <f t="shared" si="33"/>
        <v>8</v>
      </c>
      <c r="AN40" s="100" t="str">
        <f t="shared" ca="1" si="34"/>
        <v/>
      </c>
      <c r="AO40" s="101">
        <f t="shared" ca="1" si="35"/>
        <v>0</v>
      </c>
      <c r="AT40" s="88"/>
    </row>
    <row r="41" spans="1:49" ht="13.5">
      <c r="A41" s="94">
        <v>39783</v>
      </c>
      <c r="B41" s="73">
        <v>2.7E-2</v>
      </c>
      <c r="C41" s="74">
        <v>-2.1000000000000001E-2</v>
      </c>
      <c r="D41" s="74">
        <v>-0.27639999999999998</v>
      </c>
      <c r="E41" s="75">
        <v>8.0000000000000004E-4</v>
      </c>
      <c r="F41" s="76">
        <v>685.38</v>
      </c>
      <c r="G41" s="76">
        <v>1507.5</v>
      </c>
      <c r="H41" s="76">
        <v>5241.71</v>
      </c>
      <c r="I41" s="76">
        <v>1013.78</v>
      </c>
      <c r="J41" s="77">
        <v>0.38</v>
      </c>
      <c r="K41" s="77">
        <v>0.39</v>
      </c>
      <c r="L41" s="78">
        <f t="shared" si="26"/>
        <v>-0.39</v>
      </c>
      <c r="M41" s="95">
        <f t="shared" si="27"/>
        <v>0.77</v>
      </c>
      <c r="N41" s="95">
        <f t="shared" si="28"/>
        <v>-1.0000000000000009E-2</v>
      </c>
      <c r="O41" s="80">
        <f>STDEV(B$5:B41)*SQRT(12)</f>
        <v>0.19195201164555367</v>
      </c>
      <c r="P41" s="80">
        <f>STDEV(C$5:C41)*SQRT(12)</f>
        <v>9.4063068740610975E-2</v>
      </c>
      <c r="Q41" s="82">
        <f t="shared" si="29"/>
        <v>1572.5076386027367</v>
      </c>
      <c r="R41" s="100">
        <f t="shared" si="13"/>
        <v>-0.42283303438344744</v>
      </c>
      <c r="S41" s="100">
        <f t="shared" si="14"/>
        <v>5.0940094671751091E-2</v>
      </c>
      <c r="T41" s="100">
        <f t="shared" si="15"/>
        <v>0.47377312905519853</v>
      </c>
      <c r="U41" s="88">
        <f>AVERAGE($N$5:$N41)</f>
        <v>1.2702702702702707E-2</v>
      </c>
      <c r="V41" s="98">
        <f t="shared" si="16"/>
        <v>9.5994526724890814E-3</v>
      </c>
      <c r="W41" s="85">
        <f t="shared" si="17"/>
        <v>-5.3711223286546043E-3</v>
      </c>
      <c r="X41" s="85">
        <f t="shared" si="18"/>
        <v>4.6711764327916613E-2</v>
      </c>
      <c r="Y41" s="100">
        <f t="shared" si="19"/>
        <v>6.1682339329060296E-2</v>
      </c>
      <c r="Z41" s="115">
        <f t="shared" si="20"/>
        <v>15.562724723001073</v>
      </c>
      <c r="AA41" s="115">
        <f t="shared" si="21"/>
        <v>-8.7077150235839333</v>
      </c>
      <c r="AB41" s="115">
        <f t="shared" si="22"/>
        <v>75.729560253415002</v>
      </c>
      <c r="AC41" s="83">
        <f t="shared" si="23"/>
        <v>100</v>
      </c>
      <c r="AD41" s="100">
        <f t="shared" si="24"/>
        <v>-0.42283303438344744</v>
      </c>
      <c r="AE41" s="100">
        <f t="shared" si="25"/>
        <v>5.0940094671751091E-2</v>
      </c>
      <c r="AF41" s="82">
        <f>MAX(F$4:F41)</f>
        <v>1275.92</v>
      </c>
      <c r="AG41" s="83">
        <f ca="1">MIN(INDIRECT("f"&amp;ROW(AG41)-AH41):F41)</f>
        <v>685.38</v>
      </c>
      <c r="AH41" s="83">
        <f t="shared" si="30"/>
        <v>13</v>
      </c>
      <c r="AI41" s="98">
        <f t="shared" ca="1" si="31"/>
        <v>-0.46283466048028088</v>
      </c>
      <c r="AJ41" s="99">
        <f t="shared" ca="1" si="32"/>
        <v>-0.10770592753642061</v>
      </c>
      <c r="AK41" s="76">
        <f>MAX(G$4:G41)</f>
        <v>1525.77</v>
      </c>
      <c r="AL41" s="17">
        <f ca="1">MIN(INDIRECT("g"&amp;ROW(AL41)-AM41):G41)</f>
        <v>1447.65</v>
      </c>
      <c r="AM41" s="17">
        <f t="shared" si="33"/>
        <v>9</v>
      </c>
      <c r="AN41" s="100" t="str">
        <f t="shared" ca="1" si="34"/>
        <v/>
      </c>
      <c r="AO41" s="101">
        <f t="shared" ca="1" si="35"/>
        <v>0</v>
      </c>
      <c r="AT41" s="88"/>
    </row>
    <row r="42" spans="1:49" ht="13.5">
      <c r="A42" s="94">
        <v>39814</v>
      </c>
      <c r="B42" s="73">
        <v>-6.3799999999999996E-2</v>
      </c>
      <c r="C42" s="74">
        <v>5.96E-2</v>
      </c>
      <c r="D42" s="74">
        <v>0.121</v>
      </c>
      <c r="E42" s="75">
        <v>8.0000000000000004E-4</v>
      </c>
      <c r="F42" s="76">
        <v>703.89</v>
      </c>
      <c r="G42" s="76">
        <v>1475.85</v>
      </c>
      <c r="H42" s="76">
        <v>3792.9</v>
      </c>
      <c r="I42" s="76">
        <v>1014.59</v>
      </c>
      <c r="J42" s="77">
        <v>0.46</v>
      </c>
      <c r="K42" s="77">
        <v>0.48</v>
      </c>
      <c r="L42" s="78">
        <f t="shared" si="26"/>
        <v>-0.48</v>
      </c>
      <c r="M42" s="95">
        <f t="shared" si="27"/>
        <v>0.94</v>
      </c>
      <c r="N42" s="95">
        <f t="shared" si="28"/>
        <v>-1.9999999999999962E-2</v>
      </c>
      <c r="O42" s="80">
        <f>STDEV(B$5:B42)*SQRT(12)</f>
        <v>0.19193168414777392</v>
      </c>
      <c r="P42" s="80">
        <f>STDEV(C$5:C42)*SQRT(12)</f>
        <v>9.6731687538835778E-2</v>
      </c>
      <c r="Q42" s="82">
        <f t="shared" si="29"/>
        <v>1537.377148804165</v>
      </c>
      <c r="R42" s="100">
        <f t="shared" si="13"/>
        <v>-0.40528734855269599</v>
      </c>
      <c r="S42" s="100">
        <f t="shared" si="14"/>
        <v>-2.0117518175480686E-2</v>
      </c>
      <c r="T42" s="100">
        <f t="shared" si="15"/>
        <v>0.38516983037721531</v>
      </c>
      <c r="U42" s="88">
        <f>AVERAGE($N$5:$N42)</f>
        <v>1.1842105263157899E-2</v>
      </c>
      <c r="V42" s="98">
        <f t="shared" si="16"/>
        <v>1.2905202414441095E-2</v>
      </c>
      <c r="W42" s="85">
        <f t="shared" si="17"/>
        <v>-4.7994554433871909E-3</v>
      </c>
      <c r="X42" s="85">
        <f t="shared" si="18"/>
        <v>-2.8223265146534591E-2</v>
      </c>
      <c r="Y42" s="100">
        <f t="shared" si="19"/>
        <v>4.5927923004362881E-2</v>
      </c>
      <c r="Z42" s="115">
        <f t="shared" si="20"/>
        <v>28.098815644711777</v>
      </c>
      <c r="AA42" s="115">
        <f t="shared" si="21"/>
        <v>-10.449972760430013</v>
      </c>
      <c r="AB42" s="115">
        <f t="shared" si="22"/>
        <v>-61.451211594858201</v>
      </c>
      <c r="AC42" s="83">
        <f t="shared" si="23"/>
        <v>99.999999999999986</v>
      </c>
      <c r="AD42" s="100">
        <f t="shared" si="24"/>
        <v>-0.40528734855269599</v>
      </c>
      <c r="AE42" s="100">
        <f t="shared" si="25"/>
        <v>-2.0117518175480686E-2</v>
      </c>
      <c r="AF42" s="82">
        <f>MAX(F$4:F42)</f>
        <v>1275.92</v>
      </c>
      <c r="AG42" s="83">
        <f ca="1">MIN(INDIRECT("f"&amp;ROW(AG42)-AH42):F42)</f>
        <v>685.38</v>
      </c>
      <c r="AH42" s="83">
        <f t="shared" si="30"/>
        <v>14</v>
      </c>
      <c r="AI42" s="98" t="str">
        <f t="shared" ca="1" si="31"/>
        <v/>
      </c>
      <c r="AJ42" s="99">
        <f t="shared" ca="1" si="32"/>
        <v>0</v>
      </c>
      <c r="AK42" s="76">
        <f>MAX(G$4:G42)</f>
        <v>1525.77</v>
      </c>
      <c r="AL42" s="17">
        <f ca="1">MIN(INDIRECT("g"&amp;ROW(AL42)-AM42):G42)</f>
        <v>1447.65</v>
      </c>
      <c r="AM42" s="17">
        <f t="shared" si="33"/>
        <v>10</v>
      </c>
      <c r="AN42" s="100" t="str">
        <f t="shared" ca="1" si="34"/>
        <v/>
      </c>
      <c r="AO42" s="101">
        <f t="shared" ca="1" si="35"/>
        <v>0</v>
      </c>
      <c r="AT42" s="88"/>
    </row>
    <row r="43" spans="1:49" ht="13.5">
      <c r="A43" s="94">
        <v>39845</v>
      </c>
      <c r="B43" s="73">
        <v>-6.6799999999999998E-2</v>
      </c>
      <c r="C43" s="74">
        <v>-3.5000000000000001E-3</v>
      </c>
      <c r="D43" s="74">
        <v>3.3700000000000001E-2</v>
      </c>
      <c r="E43" s="75">
        <v>8.0000000000000004E-4</v>
      </c>
      <c r="F43" s="76">
        <v>658.98</v>
      </c>
      <c r="G43" s="76">
        <v>1563.81</v>
      </c>
      <c r="H43" s="76">
        <v>4251.84</v>
      </c>
      <c r="I43" s="76">
        <v>1015.4</v>
      </c>
      <c r="J43" s="77">
        <v>0.46</v>
      </c>
      <c r="K43" s="77">
        <v>0.48</v>
      </c>
      <c r="L43" s="78">
        <f t="shared" si="26"/>
        <v>-0.48</v>
      </c>
      <c r="M43" s="95">
        <f t="shared" si="27"/>
        <v>0.94</v>
      </c>
      <c r="N43" s="95">
        <f t="shared" si="28"/>
        <v>-1.9999999999999962E-2</v>
      </c>
      <c r="O43" s="80">
        <f>STDEV(B$5:B43)*SQRT(12)</f>
        <v>0.19205301562255303</v>
      </c>
      <c r="P43" s="80">
        <f>STDEV(C$5:C43)*SQRT(12)</f>
        <v>9.5847016261935827E-2</v>
      </c>
      <c r="Q43" s="82">
        <f t="shared" si="29"/>
        <v>1634.8534020687696</v>
      </c>
      <c r="R43" s="100">
        <f t="shared" si="13"/>
        <v>-0.38212129167760567</v>
      </c>
      <c r="S43" s="100">
        <f t="shared" si="14"/>
        <v>2.6984606493642982E-2</v>
      </c>
      <c r="T43" s="100">
        <f t="shared" si="15"/>
        <v>0.40910589817124865</v>
      </c>
      <c r="U43" s="88">
        <f>AVERAGE($N$5:$N43)</f>
        <v>1.1025641025641032E-2</v>
      </c>
      <c r="V43" s="98">
        <f t="shared" si="16"/>
        <v>1.1855558023843651E-2</v>
      </c>
      <c r="W43" s="85">
        <f t="shared" si="17"/>
        <v>-4.2131321902915521E-3</v>
      </c>
      <c r="X43" s="85">
        <f t="shared" si="18"/>
        <v>1.9342180660090882E-2</v>
      </c>
      <c r="Y43" s="100">
        <f t="shared" si="19"/>
        <v>3.5410870874226084E-2</v>
      </c>
      <c r="Z43" s="115">
        <f t="shared" si="20"/>
        <v>33.479995637364453</v>
      </c>
      <c r="AA43" s="115">
        <f t="shared" si="21"/>
        <v>-11.897849689311352</v>
      </c>
      <c r="AB43" s="115">
        <f t="shared" si="22"/>
        <v>54.622154673324196</v>
      </c>
      <c r="AC43" s="83">
        <f t="shared" si="23"/>
        <v>100</v>
      </c>
      <c r="AD43" s="100">
        <f t="shared" si="24"/>
        <v>-0.38212129167760567</v>
      </c>
      <c r="AE43" s="100">
        <f t="shared" si="25"/>
        <v>2.6984606493642982E-2</v>
      </c>
      <c r="AF43" s="82">
        <f>MAX(F$4:F43)</f>
        <v>1275.92</v>
      </c>
      <c r="AG43" s="83">
        <f ca="1">MIN(INDIRECT("f"&amp;ROW(AG43)-AH43):F43)</f>
        <v>658.98</v>
      </c>
      <c r="AH43" s="83">
        <f t="shared" si="30"/>
        <v>15</v>
      </c>
      <c r="AI43" s="98">
        <f t="shared" ca="1" si="31"/>
        <v>-0.48352561289109042</v>
      </c>
      <c r="AJ43" s="99">
        <f t="shared" ca="1" si="32"/>
        <v>-3.8518777904228307E-2</v>
      </c>
      <c r="AK43" s="76">
        <f>MAX(G$4:G43)</f>
        <v>1563.81</v>
      </c>
      <c r="AL43" s="17">
        <f ca="1">MIN(INDIRECT("g"&amp;ROW(AL43)-AM43):G43)</f>
        <v>1563.81</v>
      </c>
      <c r="AM43" s="17">
        <f t="shared" si="33"/>
        <v>0</v>
      </c>
      <c r="AN43" s="100" t="str">
        <f t="shared" ca="1" si="34"/>
        <v/>
      </c>
      <c r="AO43" s="101">
        <f t="shared" ca="1" si="35"/>
        <v>8.0240389596932804E-2</v>
      </c>
      <c r="AT43" s="88"/>
    </row>
    <row r="44" spans="1:49" ht="13.5">
      <c r="A44" s="94">
        <v>39873</v>
      </c>
      <c r="B44" s="73">
        <v>0.1094</v>
      </c>
      <c r="C44" s="74">
        <v>2.5000000000000001E-3</v>
      </c>
      <c r="D44" s="74">
        <v>-4.7699999999999999E-2</v>
      </c>
      <c r="E44" s="75">
        <v>8.0000000000000004E-4</v>
      </c>
      <c r="F44" s="76">
        <v>614.96</v>
      </c>
      <c r="G44" s="76">
        <v>1558.33</v>
      </c>
      <c r="H44" s="76">
        <v>4395.13</v>
      </c>
      <c r="I44" s="76">
        <v>1016.21</v>
      </c>
      <c r="J44" s="77">
        <v>0.51</v>
      </c>
      <c r="K44" s="77">
        <v>0.5</v>
      </c>
      <c r="L44" s="78">
        <f t="shared" si="26"/>
        <v>-0.5</v>
      </c>
      <c r="M44" s="95">
        <f t="shared" si="27"/>
        <v>1.01</v>
      </c>
      <c r="N44" s="95">
        <f t="shared" si="28"/>
        <v>1.0000000000000009E-2</v>
      </c>
      <c r="O44" s="80">
        <f>STDEV(B$5:B44)*SQRT(12)</f>
        <v>0.20068323221511977</v>
      </c>
      <c r="P44" s="80">
        <f>STDEV(C$5:C44)*SQRT(12)</f>
        <v>9.4747255288031365E-2</v>
      </c>
      <c r="Q44" s="82">
        <f t="shared" si="29"/>
        <v>1629.1880684972441</v>
      </c>
      <c r="R44" s="100">
        <f t="shared" si="13"/>
        <v>-0.3933690430390735</v>
      </c>
      <c r="S44" s="100">
        <f t="shared" si="14"/>
        <v>2.1340044698742178E-2</v>
      </c>
      <c r="T44" s="100">
        <f t="shared" si="15"/>
        <v>0.41470908773781567</v>
      </c>
      <c r="U44" s="88">
        <f>AVERAGE($N$5:$N44)</f>
        <v>1.1000000000000006E-2</v>
      </c>
      <c r="V44" s="98">
        <f t="shared" si="16"/>
        <v>3.9336904303907249E-4</v>
      </c>
      <c r="W44" s="85">
        <f t="shared" si="17"/>
        <v>-4.3270594734298113E-3</v>
      </c>
      <c r="X44" s="85">
        <f t="shared" si="18"/>
        <v>2.5273735129132918E-2</v>
      </c>
      <c r="Y44" s="100">
        <f t="shared" si="19"/>
        <v>2.9994163645601802E-2</v>
      </c>
      <c r="Z44" s="115">
        <f t="shared" si="20"/>
        <v>1.3114852865609214</v>
      </c>
      <c r="AA44" s="115">
        <f t="shared" si="21"/>
        <v>-14.426338152170182</v>
      </c>
      <c r="AB44" s="115">
        <f t="shared" si="22"/>
        <v>84.262176561268902</v>
      </c>
      <c r="AC44" s="83">
        <f t="shared" si="23"/>
        <v>100</v>
      </c>
      <c r="AD44" s="100">
        <f t="shared" si="24"/>
        <v>-0.3933690430390735</v>
      </c>
      <c r="AE44" s="100">
        <f t="shared" si="25"/>
        <v>2.1340044698742178E-2</v>
      </c>
      <c r="AF44" s="82">
        <f>MAX(F$4:F44)</f>
        <v>1275.92</v>
      </c>
      <c r="AG44" s="83">
        <f ca="1">MIN(INDIRECT("f"&amp;ROW(AG44)-AH44):F44)</f>
        <v>614.96</v>
      </c>
      <c r="AH44" s="83">
        <f t="shared" si="30"/>
        <v>16</v>
      </c>
      <c r="AI44" s="98">
        <f t="shared" ca="1" si="31"/>
        <v>-0.51802620853972037</v>
      </c>
      <c r="AJ44" s="99">
        <f t="shared" ca="1" si="32"/>
        <v>-6.6800206379556304E-2</v>
      </c>
      <c r="AK44" s="76">
        <f>MAX(G$4:G44)</f>
        <v>1563.81</v>
      </c>
      <c r="AL44" s="17">
        <f ca="1">MIN(INDIRECT("g"&amp;ROW(AL44)-AM44):G44)</f>
        <v>1558.33</v>
      </c>
      <c r="AM44" s="17">
        <f t="shared" si="33"/>
        <v>1</v>
      </c>
      <c r="AN44" s="100">
        <f t="shared" ca="1" si="34"/>
        <v>-3.5042620267168312E-3</v>
      </c>
      <c r="AO44" s="101">
        <f t="shared" ca="1" si="35"/>
        <v>-3.5042620267168312E-3</v>
      </c>
      <c r="AT44" s="88"/>
    </row>
    <row r="45" spans="1:49" ht="13.5">
      <c r="A45" s="94">
        <v>39904</v>
      </c>
      <c r="B45" s="73">
        <v>0.1235</v>
      </c>
      <c r="C45" s="74">
        <v>1.12E-2</v>
      </c>
      <c r="D45" s="74">
        <v>-0.1731</v>
      </c>
      <c r="E45" s="75">
        <v>8.0000000000000004E-4</v>
      </c>
      <c r="F45" s="76">
        <v>682.24</v>
      </c>
      <c r="G45" s="76">
        <v>1562.23</v>
      </c>
      <c r="H45" s="76">
        <v>4185.4799999999996</v>
      </c>
      <c r="I45" s="76">
        <v>1017.03</v>
      </c>
      <c r="J45" s="77">
        <v>0.55000000000000004</v>
      </c>
      <c r="K45" s="77">
        <v>0.56000000000000005</v>
      </c>
      <c r="L45" s="78">
        <f t="shared" si="26"/>
        <v>-0.56000000000000005</v>
      </c>
      <c r="M45" s="95">
        <f t="shared" si="27"/>
        <v>1.1100000000000001</v>
      </c>
      <c r="N45" s="95">
        <f t="shared" si="28"/>
        <v>-1.0000000000000009E-2</v>
      </c>
      <c r="O45" s="80">
        <f>STDEV(B$5:B45)*SQRT(12)</f>
        <v>0.21050668143037474</v>
      </c>
      <c r="P45" s="80">
        <f>STDEV(C$5:C45)*SQRT(12)</f>
        <v>9.3555629727229875E-2</v>
      </c>
      <c r="Q45" s="82">
        <f t="shared" si="29"/>
        <v>1632.8574109938597</v>
      </c>
      <c r="R45" s="100">
        <f t="shared" si="13"/>
        <v>-0.32927632549131414</v>
      </c>
      <c r="S45" s="100">
        <f t="shared" si="14"/>
        <v>5.6653161714474987E-2</v>
      </c>
      <c r="T45" s="100">
        <f t="shared" si="15"/>
        <v>0.38592948720578912</v>
      </c>
      <c r="U45" s="88">
        <f>AVERAGE($N$5:$N45)</f>
        <v>1.0487804878048786E-2</v>
      </c>
      <c r="V45" s="98">
        <f t="shared" si="16"/>
        <v>6.746149107626929E-3</v>
      </c>
      <c r="W45" s="85">
        <f t="shared" si="17"/>
        <v>-3.4533858527137844E-3</v>
      </c>
      <c r="X45" s="85">
        <f t="shared" si="18"/>
        <v>5.3360398459561843E-2</v>
      </c>
      <c r="Y45" s="100">
        <f t="shared" si="19"/>
        <v>6.3559933419902556E-2</v>
      </c>
      <c r="Z45" s="115">
        <f t="shared" si="20"/>
        <v>10.613839166663606</v>
      </c>
      <c r="AA45" s="115">
        <f t="shared" si="21"/>
        <v>-5.4332748115063696</v>
      </c>
      <c r="AB45" s="115">
        <f t="shared" si="22"/>
        <v>83.952886021830025</v>
      </c>
      <c r="AC45" s="83">
        <f t="shared" si="23"/>
        <v>100</v>
      </c>
      <c r="AD45" s="100">
        <f t="shared" si="24"/>
        <v>-0.32927632549131414</v>
      </c>
      <c r="AE45" s="100">
        <f t="shared" si="25"/>
        <v>5.6653161714474987E-2</v>
      </c>
      <c r="AF45" s="82">
        <f>MAX(F$4:F45)</f>
        <v>1275.92</v>
      </c>
      <c r="AG45" s="83">
        <f ca="1">MIN(INDIRECT("f"&amp;ROW(AG45)-AH45):F45)</f>
        <v>614.96</v>
      </c>
      <c r="AH45" s="83">
        <f t="shared" si="30"/>
        <v>17</v>
      </c>
      <c r="AI45" s="98" t="str">
        <f t="shared" ca="1" si="31"/>
        <v/>
      </c>
      <c r="AJ45" s="99">
        <f t="shared" ca="1" si="32"/>
        <v>0</v>
      </c>
      <c r="AK45" s="76">
        <f>MAX(G$4:G45)</f>
        <v>1563.81</v>
      </c>
      <c r="AL45" s="17">
        <f ca="1">MIN(INDIRECT("g"&amp;ROW(AL45)-AM45):G45)</f>
        <v>1558.33</v>
      </c>
      <c r="AM45" s="17">
        <f t="shared" si="33"/>
        <v>2</v>
      </c>
      <c r="AN45" s="100" t="str">
        <f t="shared" ca="1" si="34"/>
        <v/>
      </c>
      <c r="AO45" s="101">
        <f t="shared" ca="1" si="35"/>
        <v>0</v>
      </c>
      <c r="AT45" s="88"/>
    </row>
    <row r="46" spans="1:49" ht="13.5">
      <c r="A46" s="94">
        <v>39934</v>
      </c>
      <c r="B46" s="73">
        <v>3.32E-2</v>
      </c>
      <c r="C46" s="74">
        <v>5.1999999999999998E-2</v>
      </c>
      <c r="D46" s="74">
        <v>-0.2077</v>
      </c>
      <c r="E46" s="75">
        <v>8.0000000000000004E-4</v>
      </c>
      <c r="F46" s="76">
        <v>766.5</v>
      </c>
      <c r="G46" s="76">
        <v>1579.73</v>
      </c>
      <c r="H46" s="76">
        <v>3460.97</v>
      </c>
      <c r="I46" s="76">
        <v>1017.84</v>
      </c>
      <c r="J46" s="77">
        <v>0.47</v>
      </c>
      <c r="K46" s="77">
        <v>0.45</v>
      </c>
      <c r="L46" s="78">
        <f t="shared" si="26"/>
        <v>-0.45</v>
      </c>
      <c r="M46" s="95">
        <f t="shared" si="27"/>
        <v>0.91999999999999993</v>
      </c>
      <c r="N46" s="95">
        <f t="shared" si="28"/>
        <v>1.9999999999999962E-2</v>
      </c>
      <c r="O46" s="80">
        <f>STDEV(B$5:B46)*SQRT(12)</f>
        <v>0.20890320533348997</v>
      </c>
      <c r="P46" s="80">
        <f>STDEV(C$5:C46)*SQRT(12)</f>
        <v>9.49024002589655E-2</v>
      </c>
      <c r="Q46" s="82">
        <f t="shared" si="29"/>
        <v>1652.7356751276982</v>
      </c>
      <c r="R46" s="100">
        <f t="shared" si="13"/>
        <v>-0.28822152886115449</v>
      </c>
      <c r="S46" s="100">
        <f t="shared" si="14"/>
        <v>6.6146100477822989E-2</v>
      </c>
      <c r="T46" s="100">
        <f t="shared" si="15"/>
        <v>0.35436762933897747</v>
      </c>
      <c r="U46" s="88">
        <f>AVERAGE($N$5:$N46)</f>
        <v>1.0714285714285718E-2</v>
      </c>
      <c r="V46" s="98">
        <f t="shared" si="16"/>
        <v>-2.6763427679964225E-3</v>
      </c>
      <c r="W46" s="85">
        <f t="shared" si="17"/>
        <v>-3.0880878092266564E-3</v>
      </c>
      <c r="X46" s="85">
        <f t="shared" si="18"/>
        <v>7.1910531055046065E-2</v>
      </c>
      <c r="Y46" s="100">
        <f t="shared" si="19"/>
        <v>7.7674961632269141E-2</v>
      </c>
      <c r="Z46" s="115">
        <f t="shared" si="20"/>
        <v>-3.4455669005243097</v>
      </c>
      <c r="AA46" s="115">
        <f t="shared" si="21"/>
        <v>-3.9756541159896077</v>
      </c>
      <c r="AB46" s="115">
        <f t="shared" si="22"/>
        <v>92.578778983486089</v>
      </c>
      <c r="AC46" s="83">
        <f t="shared" si="23"/>
        <v>100.00000000000001</v>
      </c>
      <c r="AD46" s="100">
        <f t="shared" si="24"/>
        <v>-0.28822152886115449</v>
      </c>
      <c r="AE46" s="100">
        <f t="shared" si="25"/>
        <v>6.6146100477822989E-2</v>
      </c>
      <c r="AF46" s="82">
        <f>MAX(F$4:F46)</f>
        <v>1275.92</v>
      </c>
      <c r="AG46" s="83">
        <f ca="1">MIN(INDIRECT("f"&amp;ROW(AG46)-AH46):F46)</f>
        <v>614.96</v>
      </c>
      <c r="AH46" s="83">
        <f t="shared" si="30"/>
        <v>18</v>
      </c>
      <c r="AI46" s="98" t="str">
        <f t="shared" ca="1" si="31"/>
        <v/>
      </c>
      <c r="AJ46" s="99">
        <f t="shared" ca="1" si="32"/>
        <v>0</v>
      </c>
      <c r="AK46" s="76">
        <f>MAX(G$4:G46)</f>
        <v>1579.73</v>
      </c>
      <c r="AL46" s="17">
        <f ca="1">MIN(INDIRECT("g"&amp;ROW(AL46)-AM46):G46)</f>
        <v>1579.73</v>
      </c>
      <c r="AM46" s="17">
        <f t="shared" si="33"/>
        <v>0</v>
      </c>
      <c r="AN46" s="100" t="str">
        <f t="shared" ca="1" si="34"/>
        <v/>
      </c>
      <c r="AO46" s="101">
        <f t="shared" ca="1" si="35"/>
        <v>1.3732649695507471E-2</v>
      </c>
      <c r="AT46" s="88"/>
    </row>
    <row r="47" spans="1:49" ht="13.5">
      <c r="A47" s="94">
        <v>39965</v>
      </c>
      <c r="B47" s="73">
        <v>3.4200000000000001E-2</v>
      </c>
      <c r="C47" s="74">
        <v>0.02</v>
      </c>
      <c r="D47" s="74">
        <v>-8.8900000000000007E-2</v>
      </c>
      <c r="E47" s="75">
        <v>8.0000000000000004E-4</v>
      </c>
      <c r="F47" s="76">
        <v>791.94</v>
      </c>
      <c r="G47" s="76">
        <v>1661.87</v>
      </c>
      <c r="H47" s="76">
        <v>2742.13</v>
      </c>
      <c r="I47" s="76">
        <v>1018.65</v>
      </c>
      <c r="J47" s="77">
        <v>0.59</v>
      </c>
      <c r="K47" s="77">
        <v>0.56000000000000005</v>
      </c>
      <c r="L47" s="78">
        <f t="shared" si="26"/>
        <v>-0.56000000000000005</v>
      </c>
      <c r="M47" s="95">
        <f t="shared" si="27"/>
        <v>1.1499999999999999</v>
      </c>
      <c r="N47" s="95">
        <f t="shared" si="28"/>
        <v>2.9999999999999916E-2</v>
      </c>
      <c r="O47" s="80">
        <f>STDEV(B$5:B47)*SQRT(12)</f>
        <v>0.20737019427845232</v>
      </c>
      <c r="P47" s="80">
        <f>STDEV(C$5:C47)*SQRT(12)</f>
        <v>9.3848995838706525E-2</v>
      </c>
      <c r="Q47" s="82">
        <f t="shared" si="29"/>
        <v>1727.468070872603</v>
      </c>
      <c r="R47" s="100">
        <f t="shared" si="13"/>
        <v>-0.29660354567094183</v>
      </c>
      <c r="S47" s="100">
        <f t="shared" si="14"/>
        <v>0.12835154091103518</v>
      </c>
      <c r="T47" s="100">
        <f t="shared" si="15"/>
        <v>0.424955086581977</v>
      </c>
      <c r="U47" s="88">
        <f>AVERAGE($N$5:$N47)</f>
        <v>1.1162790697674421E-2</v>
      </c>
      <c r="V47" s="98">
        <f t="shared" si="16"/>
        <v>-5.5871830696153906E-3</v>
      </c>
      <c r="W47" s="85">
        <f t="shared" si="17"/>
        <v>-3.3109233005128398E-3</v>
      </c>
      <c r="X47" s="85">
        <f t="shared" si="18"/>
        <v>0.1372496472811634</v>
      </c>
      <c r="Y47" s="100">
        <f t="shared" si="19"/>
        <v>0.14614775365129162</v>
      </c>
      <c r="Z47" s="115">
        <f t="shared" si="20"/>
        <v>-3.8229688312188523</v>
      </c>
      <c r="AA47" s="115">
        <f t="shared" si="21"/>
        <v>-2.2654630110926637</v>
      </c>
      <c r="AB47" s="115">
        <f t="shared" si="22"/>
        <v>93.911568157688492</v>
      </c>
      <c r="AC47" s="83">
        <f t="shared" si="23"/>
        <v>100.00000000000001</v>
      </c>
      <c r="AD47" s="100">
        <f t="shared" si="24"/>
        <v>-0.29660354567094183</v>
      </c>
      <c r="AE47" s="100">
        <f t="shared" si="25"/>
        <v>0.12835154091103518</v>
      </c>
      <c r="AF47" s="82">
        <f>MAX(F$4:F47)</f>
        <v>1275.92</v>
      </c>
      <c r="AG47" s="83">
        <f ca="1">MIN(INDIRECT("f"&amp;ROW(AG47)-AH47):F47)</f>
        <v>614.96</v>
      </c>
      <c r="AH47" s="83">
        <f t="shared" si="30"/>
        <v>19</v>
      </c>
      <c r="AI47" s="98" t="str">
        <f t="shared" ca="1" si="31"/>
        <v/>
      </c>
      <c r="AJ47" s="99">
        <f t="shared" ca="1" si="32"/>
        <v>0</v>
      </c>
      <c r="AK47" s="76">
        <f>MAX(G$4:G47)</f>
        <v>1661.87</v>
      </c>
      <c r="AL47" s="17">
        <f ca="1">MIN(INDIRECT("g"&amp;ROW(AL47)-AM47):G47)</f>
        <v>1661.87</v>
      </c>
      <c r="AM47" s="17">
        <f t="shared" si="33"/>
        <v>0</v>
      </c>
      <c r="AN47" s="100" t="str">
        <f t="shared" ca="1" si="34"/>
        <v/>
      </c>
      <c r="AO47" s="101">
        <f t="shared" ca="1" si="35"/>
        <v>5.1996227203382706E-2</v>
      </c>
      <c r="AT47" s="88"/>
    </row>
    <row r="48" spans="1:49" ht="13.5">
      <c r="A48" s="94">
        <v>39995</v>
      </c>
      <c r="B48" s="73">
        <v>7.8200000000000006E-2</v>
      </c>
      <c r="C48" s="74">
        <v>6.0000000000000001E-3</v>
      </c>
      <c r="D48" s="74">
        <v>-1.6299999999999999E-2</v>
      </c>
      <c r="E48" s="75">
        <v>8.0000000000000004E-4</v>
      </c>
      <c r="F48" s="76">
        <v>819.03</v>
      </c>
      <c r="G48" s="76">
        <v>1695.11</v>
      </c>
      <c r="H48" s="76">
        <v>2498.35</v>
      </c>
      <c r="I48" s="76">
        <v>1019.47</v>
      </c>
      <c r="J48" s="77">
        <v>0.55000000000000004</v>
      </c>
      <c r="K48" s="77">
        <v>0.54</v>
      </c>
      <c r="L48" s="78">
        <f t="shared" si="26"/>
        <v>-0.54</v>
      </c>
      <c r="M48" s="95">
        <f t="shared" si="27"/>
        <v>1.0900000000000001</v>
      </c>
      <c r="N48" s="95">
        <f t="shared" si="28"/>
        <v>1.0000000000000009E-2</v>
      </c>
      <c r="O48" s="80">
        <f>STDEV(B$5:B48)*SQRT(12)</f>
        <v>0.20926688751786912</v>
      </c>
      <c r="P48" s="80">
        <f>STDEV(C$5:C48)*SQRT(12)</f>
        <v>9.2817191603077775E-2</v>
      </c>
      <c r="Q48" s="82">
        <f t="shared" si="29"/>
        <v>1759.1647327234762</v>
      </c>
      <c r="R48" s="100">
        <f t="shared" si="13"/>
        <v>-0.19971272791229411</v>
      </c>
      <c r="S48" s="100">
        <f t="shared" si="14"/>
        <v>0.17093910820985725</v>
      </c>
      <c r="T48" s="100">
        <f t="shared" si="15"/>
        <v>0.37065183612215136</v>
      </c>
      <c r="U48" s="88">
        <f>AVERAGE($N$5:$N48)</f>
        <v>1.1136363636363639E-2</v>
      </c>
      <c r="V48" s="98">
        <f t="shared" si="16"/>
        <v>2.2694628171851473E-4</v>
      </c>
      <c r="W48" s="85">
        <f t="shared" si="17"/>
        <v>-2.2240735608414575E-3</v>
      </c>
      <c r="X48" s="85">
        <f t="shared" si="18"/>
        <v>0.17293623548898018</v>
      </c>
      <c r="Y48" s="100">
        <f t="shared" si="19"/>
        <v>0.17538725533154015</v>
      </c>
      <c r="Z48" s="115">
        <f t="shared" si="20"/>
        <v>0.12939724798675417</v>
      </c>
      <c r="AA48" s="115">
        <f t="shared" si="21"/>
        <v>-1.2680930302701983</v>
      </c>
      <c r="AB48" s="115">
        <f t="shared" si="22"/>
        <v>98.602509721743047</v>
      </c>
      <c r="AC48" s="83">
        <f t="shared" si="23"/>
        <v>100</v>
      </c>
      <c r="AD48" s="100">
        <f t="shared" si="24"/>
        <v>-0.19971272791229411</v>
      </c>
      <c r="AE48" s="100">
        <f t="shared" si="25"/>
        <v>0.17093910820985725</v>
      </c>
      <c r="AF48" s="82">
        <f>MAX(F$4:F48)</f>
        <v>1275.92</v>
      </c>
      <c r="AG48" s="83">
        <f ca="1">MIN(INDIRECT("f"&amp;ROW(AG48)-AH48):F48)</f>
        <v>614.96</v>
      </c>
      <c r="AH48" s="83">
        <f t="shared" si="30"/>
        <v>20</v>
      </c>
      <c r="AI48" s="98" t="str">
        <f t="shared" ca="1" si="31"/>
        <v/>
      </c>
      <c r="AJ48" s="99">
        <f t="shared" ca="1" si="32"/>
        <v>0</v>
      </c>
      <c r="AK48" s="76">
        <f>MAX(G$4:G48)</f>
        <v>1695.11</v>
      </c>
      <c r="AL48" s="17">
        <f ca="1">MIN(INDIRECT("g"&amp;ROW(AL48)-AM48):G48)</f>
        <v>1695.11</v>
      </c>
      <c r="AM48" s="17">
        <f t="shared" si="33"/>
        <v>0</v>
      </c>
      <c r="AN48" s="100" t="str">
        <f t="shared" ca="1" si="34"/>
        <v/>
      </c>
      <c r="AO48" s="101">
        <f t="shared" ca="1" si="35"/>
        <v>2.0001564502638569E-2</v>
      </c>
      <c r="AT48" s="88"/>
    </row>
    <row r="49" spans="1:46" ht="13.5">
      <c r="A49" s="94">
        <v>40026</v>
      </c>
      <c r="B49" s="73">
        <v>1.54E-2</v>
      </c>
      <c r="C49" s="74">
        <v>5.7000000000000002E-2</v>
      </c>
      <c r="D49" s="74">
        <v>3.5000000000000001E-3</v>
      </c>
      <c r="E49" s="75">
        <v>8.0000000000000004E-4</v>
      </c>
      <c r="F49" s="76">
        <v>883.08</v>
      </c>
      <c r="G49" s="76">
        <v>1705.28</v>
      </c>
      <c r="H49" s="76">
        <v>2457.63</v>
      </c>
      <c r="I49" s="76">
        <v>1020.28</v>
      </c>
      <c r="J49" s="77">
        <v>0.54</v>
      </c>
      <c r="K49" s="77">
        <v>0.5</v>
      </c>
      <c r="L49" s="78">
        <f t="shared" si="26"/>
        <v>-0.5</v>
      </c>
      <c r="M49" s="95">
        <f t="shared" si="27"/>
        <v>1.04</v>
      </c>
      <c r="N49" s="95">
        <f t="shared" si="28"/>
        <v>4.0000000000000036E-2</v>
      </c>
      <c r="O49" s="80">
        <f>STDEV(B$5:B49)*SQRT(12)</f>
        <v>0.20704803073273365</v>
      </c>
      <c r="P49" s="80">
        <f>STDEV(C$5:C49)*SQRT(12)</f>
        <v>9.458476205034938E-2</v>
      </c>
      <c r="Q49" s="82">
        <f t="shared" si="29"/>
        <v>1769.31376002765</v>
      </c>
      <c r="R49" s="100">
        <f t="shared" si="13"/>
        <v>-0.14921576939381098</v>
      </c>
      <c r="S49" s="100">
        <f t="shared" si="14"/>
        <v>0.14812021975654432</v>
      </c>
      <c r="T49" s="100">
        <f t="shared" si="15"/>
        <v>0.29733598915035531</v>
      </c>
      <c r="U49" s="88">
        <f>AVERAGE($N$5:$N49)</f>
        <v>1.1777777777777781E-2</v>
      </c>
      <c r="V49" s="98">
        <f t="shared" si="16"/>
        <v>-4.2112006028920037E-3</v>
      </c>
      <c r="W49" s="85">
        <f t="shared" si="17"/>
        <v>-1.757430172860441E-3</v>
      </c>
      <c r="X49" s="85">
        <f t="shared" si="18"/>
        <v>0.15408885053229676</v>
      </c>
      <c r="Y49" s="100">
        <f t="shared" si="19"/>
        <v>0.1600574813080492</v>
      </c>
      <c r="Z49" s="115">
        <f t="shared" si="20"/>
        <v>-2.631055148735634</v>
      </c>
      <c r="AA49" s="115">
        <f t="shared" si="21"/>
        <v>-1.0979993927794369</v>
      </c>
      <c r="AB49" s="115">
        <f t="shared" si="22"/>
        <v>96.270945458484931</v>
      </c>
      <c r="AC49" s="83">
        <f t="shared" si="23"/>
        <v>100.00000000000001</v>
      </c>
      <c r="AD49" s="100">
        <f t="shared" si="24"/>
        <v>-0.14921576939381098</v>
      </c>
      <c r="AE49" s="100">
        <f t="shared" si="25"/>
        <v>0.14812021975654432</v>
      </c>
      <c r="AF49" s="82">
        <f>MAX(F$4:F49)</f>
        <v>1275.92</v>
      </c>
      <c r="AG49" s="83">
        <f ca="1">MIN(INDIRECT("f"&amp;ROW(AG49)-AH49):F49)</f>
        <v>614.96</v>
      </c>
      <c r="AH49" s="83">
        <f t="shared" si="30"/>
        <v>21</v>
      </c>
      <c r="AI49" s="98" t="str">
        <f t="shared" ca="1" si="31"/>
        <v/>
      </c>
      <c r="AJ49" s="99">
        <f t="shared" ca="1" si="32"/>
        <v>0</v>
      </c>
      <c r="AK49" s="76">
        <f>MAX(G$4:G49)</f>
        <v>1705.28</v>
      </c>
      <c r="AL49" s="17">
        <f ca="1">MIN(INDIRECT("g"&amp;ROW(AL49)-AM49):G49)</f>
        <v>1705.28</v>
      </c>
      <c r="AM49" s="17">
        <f t="shared" si="33"/>
        <v>0</v>
      </c>
      <c r="AN49" s="100" t="str">
        <f t="shared" ca="1" si="34"/>
        <v/>
      </c>
      <c r="AO49" s="101">
        <f t="shared" ca="1" si="35"/>
        <v>5.9996106447368636E-3</v>
      </c>
      <c r="AT49" s="88"/>
    </row>
    <row r="50" spans="1:46" ht="13.5">
      <c r="A50" s="94">
        <v>40057</v>
      </c>
      <c r="B50" s="73">
        <v>5.6399999999999999E-2</v>
      </c>
      <c r="C50" s="74">
        <v>-2E-3</v>
      </c>
      <c r="D50" s="74">
        <v>-1.54E-2</v>
      </c>
      <c r="E50" s="75">
        <v>8.0000000000000004E-4</v>
      </c>
      <c r="F50" s="76">
        <v>896.68</v>
      </c>
      <c r="G50" s="76">
        <v>1802.48</v>
      </c>
      <c r="H50" s="76">
        <v>2466.23</v>
      </c>
      <c r="I50" s="76">
        <v>1021.1</v>
      </c>
      <c r="J50" s="77">
        <v>0.61</v>
      </c>
      <c r="K50" s="77">
        <v>0.61</v>
      </c>
      <c r="L50" s="78">
        <f t="shared" si="26"/>
        <v>-0.61</v>
      </c>
      <c r="M50" s="95">
        <f t="shared" si="27"/>
        <v>1.22</v>
      </c>
      <c r="N50" s="95">
        <f t="shared" si="28"/>
        <v>0</v>
      </c>
      <c r="O50" s="80">
        <f>STDEV(B$5:B50)*SQRT(12)</f>
        <v>0.20679524410756464</v>
      </c>
      <c r="P50" s="80">
        <f>STDEV(C$5:C50)*SQRT(12)</f>
        <v>9.3863714030471876E-2</v>
      </c>
      <c r="Q50" s="82">
        <f t="shared" si="29"/>
        <v>1851.9784193076305</v>
      </c>
      <c r="R50" s="100">
        <f t="shared" si="13"/>
        <v>-0.15138552392489413</v>
      </c>
      <c r="S50" s="100">
        <f t="shared" si="14"/>
        <v>0.19174595198582445</v>
      </c>
      <c r="T50" s="100">
        <f t="shared" si="15"/>
        <v>0.34313147591071858</v>
      </c>
      <c r="U50" s="88">
        <f>AVERAGE($N$5:$N50)</f>
        <v>1.1521739130434786E-2</v>
      </c>
      <c r="V50" s="98">
        <f t="shared" si="16"/>
        <v>1.7442245147868242E-3</v>
      </c>
      <c r="W50" s="85">
        <f t="shared" si="17"/>
        <v>-1.7442245147868242E-3</v>
      </c>
      <c r="X50" s="85">
        <f t="shared" si="18"/>
        <v>0.19174595198582445</v>
      </c>
      <c r="Y50" s="100">
        <f t="shared" si="19"/>
        <v>0.1952344010153981</v>
      </c>
      <c r="Z50" s="115">
        <f t="shared" si="20"/>
        <v>0.89340019264804549</v>
      </c>
      <c r="AA50" s="115">
        <f t="shared" si="21"/>
        <v>-0.89340019264804549</v>
      </c>
      <c r="AB50" s="115">
        <f t="shared" si="22"/>
        <v>98.21319961470391</v>
      </c>
      <c r="AC50" s="83">
        <f t="shared" si="23"/>
        <v>100</v>
      </c>
      <c r="AD50" s="100">
        <f t="shared" si="24"/>
        <v>-0.15138552392489413</v>
      </c>
      <c r="AE50" s="100">
        <f t="shared" si="25"/>
        <v>0.19174595198582445</v>
      </c>
      <c r="AF50" s="82">
        <f>MAX(F$4:F50)</f>
        <v>1275.92</v>
      </c>
      <c r="AG50" s="83">
        <f ca="1">MIN(INDIRECT("f"&amp;ROW(AG50)-AH50):F50)</f>
        <v>614.96</v>
      </c>
      <c r="AH50" s="83">
        <f t="shared" si="30"/>
        <v>22</v>
      </c>
      <c r="AI50" s="98" t="str">
        <f t="shared" ca="1" si="31"/>
        <v/>
      </c>
      <c r="AJ50" s="99">
        <f t="shared" ca="1" si="32"/>
        <v>0</v>
      </c>
      <c r="AK50" s="76">
        <f>MAX(G$4:G50)</f>
        <v>1802.48</v>
      </c>
      <c r="AL50" s="17">
        <f ca="1">MIN(INDIRECT("g"&amp;ROW(AL50)-AM50):G50)</f>
        <v>1802.48</v>
      </c>
      <c r="AM50" s="17">
        <f t="shared" si="33"/>
        <v>0</v>
      </c>
      <c r="AN50" s="100" t="str">
        <f t="shared" ca="1" si="34"/>
        <v/>
      </c>
      <c r="AO50" s="101">
        <f t="shared" ca="1" si="35"/>
        <v>5.6999437042597245E-2</v>
      </c>
      <c r="AT50" s="88"/>
    </row>
    <row r="51" spans="1:46" ht="13.5">
      <c r="A51" s="94">
        <v>40087</v>
      </c>
      <c r="B51" s="73">
        <v>-3.6400000000000002E-2</v>
      </c>
      <c r="C51" s="74">
        <v>1.6E-2</v>
      </c>
      <c r="D51" s="74">
        <v>0.19839999999999999</v>
      </c>
      <c r="E51" s="75">
        <v>8.0000000000000004E-4</v>
      </c>
      <c r="F51" s="76">
        <v>947.25</v>
      </c>
      <c r="G51" s="76">
        <v>1798.88</v>
      </c>
      <c r="H51" s="76">
        <v>2428.25</v>
      </c>
      <c r="I51" s="76">
        <v>1021.92</v>
      </c>
      <c r="J51" s="77">
        <v>0.63</v>
      </c>
      <c r="K51" s="77">
        <v>0.61</v>
      </c>
      <c r="L51" s="78">
        <f t="shared" si="26"/>
        <v>-0.61</v>
      </c>
      <c r="M51" s="95">
        <f t="shared" si="27"/>
        <v>1.24</v>
      </c>
      <c r="N51" s="95">
        <f t="shared" si="28"/>
        <v>2.0000000000000018E-2</v>
      </c>
      <c r="O51" s="80">
        <f>STDEV(B$5:B51)*SQRT(12)</f>
        <v>0.20538889634521543</v>
      </c>
      <c r="P51" s="80">
        <f>STDEV(C$5:C51)*SQRT(12)</f>
        <v>9.2848680571192208E-2</v>
      </c>
      <c r="Q51" s="82">
        <f t="shared" si="29"/>
        <v>1848.9913573410054</v>
      </c>
      <c r="R51" s="100">
        <f t="shared" si="13"/>
        <v>1.4566486370695575E-2</v>
      </c>
      <c r="S51" s="100">
        <f t="shared" si="14"/>
        <v>0.22996136884209095</v>
      </c>
      <c r="T51" s="100">
        <f t="shared" si="15"/>
        <v>0.21539488247139538</v>
      </c>
      <c r="U51" s="88">
        <f>AVERAGE($N$5:$N51)</f>
        <v>1.1702127659574471E-2</v>
      </c>
      <c r="V51" s="98">
        <f t="shared" si="16"/>
        <v>1.2087084435258052E-4</v>
      </c>
      <c r="W51" s="85">
        <f t="shared" si="17"/>
        <v>1.7045888306133124E-4</v>
      </c>
      <c r="X51" s="85">
        <f t="shared" si="18"/>
        <v>0.22967003911467704</v>
      </c>
      <c r="Y51" s="100">
        <f t="shared" si="19"/>
        <v>0.22996136884209095</v>
      </c>
      <c r="Z51" s="115">
        <f t="shared" si="20"/>
        <v>5.2561369312242909E-2</v>
      </c>
      <c r="AA51" s="115">
        <f t="shared" si="21"/>
        <v>7.412500800444502E-2</v>
      </c>
      <c r="AB51" s="115">
        <f t="shared" si="22"/>
        <v>99.873313622683312</v>
      </c>
      <c r="AC51" s="83">
        <f t="shared" si="23"/>
        <v>100</v>
      </c>
      <c r="AD51" s="100">
        <f t="shared" si="24"/>
        <v>1.4566486370695575E-2</v>
      </c>
      <c r="AE51" s="100">
        <f t="shared" si="25"/>
        <v>0.22996136884209095</v>
      </c>
      <c r="AF51" s="82">
        <f>MAX(F$4:F51)</f>
        <v>1275.92</v>
      </c>
      <c r="AG51" s="83">
        <f ca="1">MIN(INDIRECT("f"&amp;ROW(AG51)-AH51):F51)</f>
        <v>614.96</v>
      </c>
      <c r="AH51" s="83">
        <f t="shared" si="30"/>
        <v>23</v>
      </c>
      <c r="AI51" s="98" t="str">
        <f t="shared" ca="1" si="31"/>
        <v/>
      </c>
      <c r="AJ51" s="99">
        <f t="shared" ca="1" si="32"/>
        <v>0</v>
      </c>
      <c r="AK51" s="76">
        <f>MAX(G$4:G51)</f>
        <v>1802.48</v>
      </c>
      <c r="AL51" s="17">
        <f ca="1">MIN(INDIRECT("g"&amp;ROW(AL51)-AM51):G51)</f>
        <v>1798.88</v>
      </c>
      <c r="AM51" s="17">
        <f t="shared" si="33"/>
        <v>1</v>
      </c>
      <c r="AN51" s="100">
        <f t="shared" ca="1" si="34"/>
        <v>-1.9972482357639709E-3</v>
      </c>
      <c r="AO51" s="101">
        <f t="shared" ca="1" si="35"/>
        <v>-1.9972482357639709E-3</v>
      </c>
      <c r="AT51" s="88"/>
    </row>
    <row r="52" spans="1:46" ht="13.5">
      <c r="A52" s="94">
        <v>40118</v>
      </c>
      <c r="B52" s="73">
        <v>4.8599999999999997E-2</v>
      </c>
      <c r="C52" s="74">
        <v>-1.7999999999999999E-2</v>
      </c>
      <c r="D52" s="74">
        <v>-0.2014</v>
      </c>
      <c r="E52" s="75">
        <v>8.0000000000000004E-4</v>
      </c>
      <c r="F52" s="76">
        <v>912.77</v>
      </c>
      <c r="G52" s="76">
        <v>1827.66</v>
      </c>
      <c r="H52" s="76">
        <v>2910.02</v>
      </c>
      <c r="I52" s="76">
        <v>1022.73</v>
      </c>
      <c r="J52" s="77">
        <v>0.57999999999999996</v>
      </c>
      <c r="K52" s="77">
        <v>0.6</v>
      </c>
      <c r="L52" s="78">
        <f t="shared" si="26"/>
        <v>-0.6</v>
      </c>
      <c r="M52" s="95">
        <f t="shared" si="27"/>
        <v>1.18</v>
      </c>
      <c r="N52" s="95">
        <f t="shared" si="28"/>
        <v>-2.0000000000000018E-2</v>
      </c>
      <c r="O52" s="80">
        <f>STDEV(B$5:B52)*SQRT(12)</f>
        <v>0.20464977855278058</v>
      </c>
      <c r="P52" s="80">
        <f>STDEV(C$5:C52)*SQRT(12)</f>
        <v>9.3175345736903434E-2</v>
      </c>
      <c r="Q52" s="82">
        <f t="shared" si="29"/>
        <v>1874.0624265930869</v>
      </c>
      <c r="R52" s="100">
        <f t="shared" si="13"/>
        <v>0.18833240030724752</v>
      </c>
      <c r="S52" s="100">
        <f t="shared" si="14"/>
        <v>0.20388899501360225</v>
      </c>
      <c r="T52" s="100">
        <f t="shared" si="15"/>
        <v>1.5556594706354732E-2</v>
      </c>
      <c r="U52" s="88">
        <f>AVERAGE($N$5:$N52)</f>
        <v>1.104166666666667E-2</v>
      </c>
      <c r="V52" s="98">
        <f t="shared" si="16"/>
        <v>-5.8461515928708123E-3</v>
      </c>
      <c r="W52" s="85">
        <f t="shared" si="17"/>
        <v>2.0795035867258588E-3</v>
      </c>
      <c r="X52" s="85">
        <f t="shared" si="18"/>
        <v>0.2076556430197472</v>
      </c>
      <c r="Y52" s="100">
        <f t="shared" si="19"/>
        <v>0.21558129819934388</v>
      </c>
      <c r="Z52" s="115">
        <f t="shared" si="20"/>
        <v>-2.7118083255371199</v>
      </c>
      <c r="AA52" s="115">
        <f t="shared" si="21"/>
        <v>0.96460296143266644</v>
      </c>
      <c r="AB52" s="115">
        <f t="shared" si="22"/>
        <v>96.323588713030219</v>
      </c>
      <c r="AC52" s="83">
        <f t="shared" si="23"/>
        <v>100</v>
      </c>
      <c r="AD52" s="100">
        <f t="shared" si="24"/>
        <v>0.18833240030724752</v>
      </c>
      <c r="AE52" s="100">
        <f t="shared" si="25"/>
        <v>0.20388899501360225</v>
      </c>
      <c r="AF52" s="82">
        <f>MAX(F$4:F52)</f>
        <v>1275.92</v>
      </c>
      <c r="AG52" s="83">
        <f ca="1">MIN(INDIRECT("f"&amp;ROW(AG52)-AH52):F52)</f>
        <v>614.96</v>
      </c>
      <c r="AH52" s="83">
        <f t="shared" si="30"/>
        <v>24</v>
      </c>
      <c r="AI52" s="98" t="str">
        <f t="shared" ca="1" si="31"/>
        <v/>
      </c>
      <c r="AJ52" s="99">
        <f t="shared" ca="1" si="32"/>
        <v>0</v>
      </c>
      <c r="AK52" s="76">
        <f>MAX(G$4:G52)</f>
        <v>1827.66</v>
      </c>
      <c r="AL52" s="17">
        <f ca="1">MIN(INDIRECT("g"&amp;ROW(AL52)-AM52):G52)</f>
        <v>1827.66</v>
      </c>
      <c r="AM52" s="17">
        <f t="shared" si="33"/>
        <v>0</v>
      </c>
      <c r="AN52" s="100" t="str">
        <f t="shared" ca="1" si="34"/>
        <v/>
      </c>
      <c r="AO52" s="101">
        <f t="shared" ca="1" si="35"/>
        <v>1.5998843724984502E-2</v>
      </c>
      <c r="AT52" s="88"/>
    </row>
    <row r="53" spans="1:46" ht="13.5">
      <c r="A53" s="94">
        <v>40148</v>
      </c>
      <c r="B53" s="73">
        <v>5.8099999999999999E-2</v>
      </c>
      <c r="C53" s="74">
        <v>2.3199999999999998E-2</v>
      </c>
      <c r="D53" s="74">
        <v>-0.11550000000000001</v>
      </c>
      <c r="E53" s="75">
        <v>8.0000000000000004E-4</v>
      </c>
      <c r="F53" s="76">
        <v>957.13</v>
      </c>
      <c r="G53" s="76">
        <v>1794.76</v>
      </c>
      <c r="H53" s="76">
        <v>2323.94</v>
      </c>
      <c r="I53" s="76">
        <v>1023.55</v>
      </c>
      <c r="J53" s="77">
        <v>0.6</v>
      </c>
      <c r="K53" s="77">
        <v>0.56999999999999995</v>
      </c>
      <c r="L53" s="78">
        <f t="shared" si="26"/>
        <v>-0.56999999999999995</v>
      </c>
      <c r="M53" s="95">
        <f t="shared" si="27"/>
        <v>1.17</v>
      </c>
      <c r="N53" s="95">
        <f t="shared" si="28"/>
        <v>3.0000000000000027E-2</v>
      </c>
      <c r="O53" s="80">
        <f>STDEV(B$5:B53)*SQRT(12)</f>
        <v>0.20447887396491399</v>
      </c>
      <c r="P53" s="80">
        <f>STDEV(C$5:C53)*SQRT(12)</f>
        <v>9.234870528246153E-2</v>
      </c>
      <c r="Q53" s="82">
        <f t="shared" si="29"/>
        <v>1845.2306969531933</v>
      </c>
      <c r="R53" s="100">
        <f t="shared" si="13"/>
        <v>0.39649537482856223</v>
      </c>
      <c r="S53" s="100">
        <f t="shared" si="14"/>
        <v>0.19055389718076277</v>
      </c>
      <c r="T53" s="100">
        <f t="shared" si="15"/>
        <v>-0.20594147764779946</v>
      </c>
      <c r="U53" s="88">
        <f>AVERAGE($N$5:$N53)</f>
        <v>1.1428571428571432E-2</v>
      </c>
      <c r="V53" s="98">
        <f t="shared" si="16"/>
        <v>7.3634855325304498E-3</v>
      </c>
      <c r="W53" s="85">
        <f t="shared" si="17"/>
        <v>4.5313757123264268E-3</v>
      </c>
      <c r="X53" s="85">
        <f t="shared" si="18"/>
        <v>0.17865903593590587</v>
      </c>
      <c r="Y53" s="100">
        <f t="shared" si="19"/>
        <v>0.19055389718076277</v>
      </c>
      <c r="Z53" s="115">
        <f t="shared" si="20"/>
        <v>3.8642534429748863</v>
      </c>
      <c r="AA53" s="115">
        <f t="shared" si="21"/>
        <v>2.3780021187537739</v>
      </c>
      <c r="AB53" s="115">
        <f t="shared" si="22"/>
        <v>93.757744438271331</v>
      </c>
      <c r="AC53" s="83">
        <f t="shared" si="23"/>
        <v>99.999999999999986</v>
      </c>
      <c r="AD53" s="100">
        <f t="shared" si="24"/>
        <v>0.39649537482856223</v>
      </c>
      <c r="AE53" s="100">
        <f t="shared" si="25"/>
        <v>0.19055389718076277</v>
      </c>
      <c r="AF53" s="82">
        <f>MAX(F$4:F53)</f>
        <v>1275.92</v>
      </c>
      <c r="AG53" s="83">
        <f ca="1">MIN(INDIRECT("f"&amp;ROW(AG53)-AH53):F53)</f>
        <v>614.96</v>
      </c>
      <c r="AH53" s="83">
        <f t="shared" si="30"/>
        <v>25</v>
      </c>
      <c r="AI53" s="98" t="str">
        <f t="shared" ca="1" si="31"/>
        <v/>
      </c>
      <c r="AJ53" s="99">
        <f t="shared" ca="1" si="32"/>
        <v>0</v>
      </c>
      <c r="AK53" s="76">
        <f>MAX(G$4:G53)</f>
        <v>1827.66</v>
      </c>
      <c r="AL53" s="17">
        <f ca="1">MIN(INDIRECT("g"&amp;ROW(AL53)-AM53):G53)</f>
        <v>1794.76</v>
      </c>
      <c r="AM53" s="17">
        <f t="shared" si="33"/>
        <v>1</v>
      </c>
      <c r="AN53" s="100">
        <f t="shared" ca="1" si="34"/>
        <v>-1.8001159953164203E-2</v>
      </c>
      <c r="AO53" s="101">
        <f t="shared" ca="1" si="35"/>
        <v>-1.8001159953164203E-2</v>
      </c>
      <c r="AT53" s="88"/>
    </row>
    <row r="54" spans="1:46" ht="13.5">
      <c r="A54" s="94">
        <v>40179</v>
      </c>
      <c r="B54" s="73">
        <v>-5.3699999999999998E-2</v>
      </c>
      <c r="C54" s="74">
        <v>2.1700000000000001E-2</v>
      </c>
      <c r="D54" s="74">
        <v>0.1356</v>
      </c>
      <c r="E54" s="75">
        <v>8.0000000000000004E-4</v>
      </c>
      <c r="F54" s="76">
        <v>1012.74</v>
      </c>
      <c r="G54" s="76">
        <v>1836.4</v>
      </c>
      <c r="H54" s="76">
        <v>2055.52</v>
      </c>
      <c r="I54" s="76">
        <v>1024.3699999999999</v>
      </c>
      <c r="J54" s="77">
        <v>0.6</v>
      </c>
      <c r="K54" s="77">
        <v>0.56999999999999995</v>
      </c>
      <c r="L54" s="78">
        <f t="shared" si="26"/>
        <v>-0.56999999999999995</v>
      </c>
      <c r="M54" s="95">
        <f t="shared" si="27"/>
        <v>1.17</v>
      </c>
      <c r="N54" s="95">
        <f t="shared" si="28"/>
        <v>3.0000000000000027E-2</v>
      </c>
      <c r="O54" s="80">
        <f>STDEV(B$5:B54)*SQRT(12)</f>
        <v>0.20421423816518708</v>
      </c>
      <c r="P54" s="80">
        <f>STDEV(C$5:C54)*SQRT(12)</f>
        <v>9.1505020538074688E-2</v>
      </c>
      <c r="Q54" s="82">
        <f t="shared" si="29"/>
        <v>1881.8198868414959</v>
      </c>
      <c r="R54" s="100">
        <f t="shared" si="13"/>
        <v>0.43877594510505902</v>
      </c>
      <c r="S54" s="100">
        <f t="shared" si="14"/>
        <v>0.24429989497577687</v>
      </c>
      <c r="T54" s="100">
        <f t="shared" si="15"/>
        <v>-0.19447605012928215</v>
      </c>
      <c r="U54" s="88">
        <f>AVERAGE($N$5:$N54)</f>
        <v>1.1800000000000003E-2</v>
      </c>
      <c r="V54" s="98">
        <f t="shared" si="16"/>
        <v>7.9857222009120845E-3</v>
      </c>
      <c r="W54" s="85">
        <f t="shared" si="17"/>
        <v>5.1775561522396981E-3</v>
      </c>
      <c r="X54" s="85">
        <f t="shared" si="18"/>
        <v>0.23113661662262508</v>
      </c>
      <c r="Y54" s="100">
        <f t="shared" si="19"/>
        <v>0.24429989497577687</v>
      </c>
      <c r="Z54" s="115">
        <f t="shared" si="20"/>
        <v>3.2688193344102321</v>
      </c>
      <c r="AA54" s="115">
        <f t="shared" si="21"/>
        <v>2.11934440362861</v>
      </c>
      <c r="AB54" s="115">
        <f t="shared" si="22"/>
        <v>94.611836261961159</v>
      </c>
      <c r="AC54" s="83">
        <f t="shared" si="23"/>
        <v>100.00000000000001</v>
      </c>
      <c r="AD54" s="100">
        <f t="shared" si="24"/>
        <v>0.43877594510505902</v>
      </c>
      <c r="AE54" s="100">
        <f t="shared" si="25"/>
        <v>0.24429989497577687</v>
      </c>
      <c r="AF54" s="82">
        <f>MAX(F$4:F54)</f>
        <v>1275.92</v>
      </c>
      <c r="AG54" s="83">
        <f ca="1">MIN(INDIRECT("f"&amp;ROW(AG54)-AH54):F54)</f>
        <v>614.96</v>
      </c>
      <c r="AH54" s="83">
        <f t="shared" si="30"/>
        <v>26</v>
      </c>
      <c r="AI54" s="98" t="str">
        <f t="shared" ca="1" si="31"/>
        <v/>
      </c>
      <c r="AJ54" s="99">
        <f t="shared" ca="1" si="32"/>
        <v>0</v>
      </c>
      <c r="AK54" s="76">
        <f>MAX(G$4:G54)</f>
        <v>1836.4</v>
      </c>
      <c r="AL54" s="17">
        <f ca="1">MIN(INDIRECT("g"&amp;ROW(AL54)-AM54):G54)</f>
        <v>1836.4</v>
      </c>
      <c r="AM54" s="17">
        <f t="shared" si="33"/>
        <v>0</v>
      </c>
      <c r="AN54" s="100" t="str">
        <f t="shared" ca="1" si="34"/>
        <v/>
      </c>
      <c r="AO54" s="101">
        <f t="shared" ca="1" si="35"/>
        <v>2.3200873654416254E-2</v>
      </c>
      <c r="AT54" s="88"/>
    </row>
    <row r="55" spans="1:46" ht="13.5">
      <c r="A55" s="94">
        <v>40210</v>
      </c>
      <c r="B55" s="73">
        <v>4.2299999999999997E-2</v>
      </c>
      <c r="C55" s="74">
        <v>-2.3599999999999999E-2</v>
      </c>
      <c r="D55" s="74">
        <v>-0.20799999999999999</v>
      </c>
      <c r="E55" s="75">
        <v>8.0000000000000004E-4</v>
      </c>
      <c r="F55" s="76">
        <v>958.35</v>
      </c>
      <c r="G55" s="76">
        <v>1876.25</v>
      </c>
      <c r="H55" s="76">
        <v>2334.25</v>
      </c>
      <c r="I55" s="76">
        <v>1025.19</v>
      </c>
      <c r="J55" s="77">
        <v>0.66</v>
      </c>
      <c r="K55" s="77">
        <v>0.64</v>
      </c>
      <c r="L55" s="78">
        <f t="shared" si="26"/>
        <v>-0.64</v>
      </c>
      <c r="M55" s="95">
        <f t="shared" si="27"/>
        <v>1.3</v>
      </c>
      <c r="N55" s="95">
        <f t="shared" si="28"/>
        <v>2.0000000000000018E-2</v>
      </c>
      <c r="O55" s="80">
        <f>STDEV(B$5:B55)*SQRT(12)</f>
        <v>0.20315647611689688</v>
      </c>
      <c r="P55" s="80">
        <f>STDEV(C$5:C55)*SQRT(12)</f>
        <v>9.2308326308531627E-2</v>
      </c>
      <c r="Q55" s="82">
        <f t="shared" si="29"/>
        <v>1913.2318034141579</v>
      </c>
      <c r="R55" s="100">
        <f t="shared" si="13"/>
        <v>0.45429299827005365</v>
      </c>
      <c r="S55" s="100">
        <f t="shared" si="14"/>
        <v>0.19979409263273684</v>
      </c>
      <c r="T55" s="100">
        <f t="shared" si="15"/>
        <v>-0.25449890563731681</v>
      </c>
      <c r="U55" s="88">
        <f>AVERAGE($N$5:$N55)</f>
        <v>1.1960784313725494E-2</v>
      </c>
      <c r="V55" s="98">
        <f t="shared" si="16"/>
        <v>3.6521593978573004E-3</v>
      </c>
      <c r="W55" s="85">
        <f t="shared" si="17"/>
        <v>5.4337005675437807E-3</v>
      </c>
      <c r="X55" s="85">
        <f t="shared" si="18"/>
        <v>0.19070823266733578</v>
      </c>
      <c r="Y55" s="100">
        <f t="shared" si="19"/>
        <v>0.19979409263273684</v>
      </c>
      <c r="Z55" s="115">
        <f t="shared" si="20"/>
        <v>1.8279616527855658</v>
      </c>
      <c r="AA55" s="115">
        <f t="shared" si="21"/>
        <v>2.7196502639004718</v>
      </c>
      <c r="AB55" s="115">
        <f t="shared" si="22"/>
        <v>95.452388083313963</v>
      </c>
      <c r="AC55" s="83">
        <f t="shared" si="23"/>
        <v>100</v>
      </c>
      <c r="AD55" s="100">
        <f t="shared" si="24"/>
        <v>0.45429299827005365</v>
      </c>
      <c r="AE55" s="100">
        <f t="shared" si="25"/>
        <v>0.19979409263273684</v>
      </c>
      <c r="AF55" s="82">
        <f>MAX(F$4:F55)</f>
        <v>1275.92</v>
      </c>
      <c r="AG55" s="83">
        <f ca="1">MIN(INDIRECT("f"&amp;ROW(AG55)-AH55):F55)</f>
        <v>614.96</v>
      </c>
      <c r="AH55" s="83">
        <f t="shared" si="30"/>
        <v>27</v>
      </c>
      <c r="AI55" s="98" t="str">
        <f t="shared" ca="1" si="31"/>
        <v/>
      </c>
      <c r="AJ55" s="99">
        <f t="shared" ca="1" si="32"/>
        <v>0</v>
      </c>
      <c r="AK55" s="76">
        <f>MAX(G$4:G55)</f>
        <v>1876.25</v>
      </c>
      <c r="AL55" s="17">
        <f ca="1">MIN(INDIRECT("g"&amp;ROW(AL55)-AM55):G55)</f>
        <v>1876.25</v>
      </c>
      <c r="AM55" s="17">
        <f t="shared" si="33"/>
        <v>0</v>
      </c>
      <c r="AN55" s="100" t="str">
        <f t="shared" ca="1" si="34"/>
        <v/>
      </c>
      <c r="AO55" s="101">
        <f t="shared" ca="1" si="35"/>
        <v>2.1700065345240604E-2</v>
      </c>
      <c r="AT55" s="88"/>
    </row>
    <row r="56" spans="1:46" ht="13.5">
      <c r="A56" s="94">
        <v>40238</v>
      </c>
      <c r="B56" s="73">
        <v>7.1400000000000005E-2</v>
      </c>
      <c r="C56" s="74">
        <v>-2.3599999999999999E-2</v>
      </c>
      <c r="D56" s="74">
        <v>-9.7900000000000001E-2</v>
      </c>
      <c r="E56" s="75">
        <v>8.0000000000000004E-4</v>
      </c>
      <c r="F56" s="76">
        <v>998.89</v>
      </c>
      <c r="G56" s="76">
        <v>1831.97</v>
      </c>
      <c r="H56" s="76">
        <v>1848.73</v>
      </c>
      <c r="I56" s="76">
        <v>1026.01</v>
      </c>
      <c r="J56" s="77">
        <v>0.72</v>
      </c>
      <c r="K56" s="77">
        <v>0.79</v>
      </c>
      <c r="L56" s="78">
        <f t="shared" si="26"/>
        <v>-0.79</v>
      </c>
      <c r="M56" s="95">
        <f t="shared" si="27"/>
        <v>1.51</v>
      </c>
      <c r="N56" s="95">
        <f t="shared" si="28"/>
        <v>-7.0000000000000062E-2</v>
      </c>
      <c r="O56" s="80">
        <f>STDEV(B$5:B56)*SQRT(12)</f>
        <v>0.20392110753805626</v>
      </c>
      <c r="P56" s="80">
        <f>STDEV(C$5:C56)*SQRT(12)</f>
        <v>9.3009744052372195E-2</v>
      </c>
      <c r="Q56" s="82">
        <f t="shared" si="29"/>
        <v>1883.3296374800027</v>
      </c>
      <c r="R56" s="100">
        <f t="shared" si="13"/>
        <v>0.62431702874983719</v>
      </c>
      <c r="S56" s="100">
        <f t="shared" si="14"/>
        <v>0.17559823657376805</v>
      </c>
      <c r="T56" s="100">
        <f t="shared" si="15"/>
        <v>-0.44871879217606914</v>
      </c>
      <c r="U56" s="88">
        <f>AVERAGE($N$5:$N56)</f>
        <v>1.0384615384615388E-2</v>
      </c>
      <c r="V56" s="98">
        <f t="shared" si="16"/>
        <v>-5.0185484234121565E-2</v>
      </c>
      <c r="W56" s="85">
        <f t="shared" si="17"/>
        <v>6.4832922216329272E-3</v>
      </c>
      <c r="X56" s="85">
        <f t="shared" si="18"/>
        <v>0.2193004285862567</v>
      </c>
      <c r="Y56" s="100">
        <f t="shared" si="19"/>
        <v>0.27596920504201117</v>
      </c>
      <c r="Z56" s="115">
        <f t="shared" si="20"/>
        <v>-18.185175489591948</v>
      </c>
      <c r="AA56" s="115">
        <f t="shared" si="21"/>
        <v>2.3492810441099641</v>
      </c>
      <c r="AB56" s="115">
        <f t="shared" si="22"/>
        <v>79.465543466298101</v>
      </c>
      <c r="AC56" s="83">
        <f t="shared" si="23"/>
        <v>100</v>
      </c>
      <c r="AD56" s="100">
        <f t="shared" si="24"/>
        <v>0.62431702874983719</v>
      </c>
      <c r="AE56" s="100">
        <f t="shared" si="25"/>
        <v>0.17559823657376805</v>
      </c>
      <c r="AF56" s="82">
        <f>MAX(F$4:F56)</f>
        <v>1275.92</v>
      </c>
      <c r="AG56" s="83">
        <f ca="1">MIN(INDIRECT("f"&amp;ROW(AG56)-AH56):F56)</f>
        <v>614.96</v>
      </c>
      <c r="AH56" s="83">
        <f t="shared" si="30"/>
        <v>28</v>
      </c>
      <c r="AI56" s="98" t="str">
        <f t="shared" ca="1" si="31"/>
        <v/>
      </c>
      <c r="AJ56" s="99">
        <f t="shared" ca="1" si="32"/>
        <v>0</v>
      </c>
      <c r="AK56" s="76">
        <f>MAX(G$4:G56)</f>
        <v>1876.25</v>
      </c>
      <c r="AL56" s="17">
        <f ca="1">MIN(INDIRECT("g"&amp;ROW(AL56)-AM56):G56)</f>
        <v>1831.97</v>
      </c>
      <c r="AM56" s="17">
        <f t="shared" si="33"/>
        <v>1</v>
      </c>
      <c r="AN56" s="100">
        <f t="shared" ca="1" si="34"/>
        <v>-2.360026648900726E-2</v>
      </c>
      <c r="AO56" s="101">
        <f t="shared" ca="1" si="35"/>
        <v>-2.360026648900726E-2</v>
      </c>
      <c r="AT56" s="88"/>
    </row>
    <row r="57" spans="1:46" ht="13.5">
      <c r="A57" s="94">
        <v>40269</v>
      </c>
      <c r="B57" s="73">
        <v>2.64E-2</v>
      </c>
      <c r="C57" s="74">
        <v>2.9399999999999999E-2</v>
      </c>
      <c r="D57" s="74">
        <v>0.25359999999999999</v>
      </c>
      <c r="E57" s="75">
        <v>8.0000000000000004E-4</v>
      </c>
      <c r="F57" s="76">
        <v>1070.21</v>
      </c>
      <c r="G57" s="76">
        <v>1788.74</v>
      </c>
      <c r="H57" s="76">
        <v>1667.74</v>
      </c>
      <c r="I57" s="76">
        <v>1026.83</v>
      </c>
      <c r="J57" s="77">
        <v>0.67200000000000004</v>
      </c>
      <c r="K57" s="77">
        <v>0.64900000000000002</v>
      </c>
      <c r="L57" s="78">
        <f t="shared" si="26"/>
        <v>-0.64900000000000002</v>
      </c>
      <c r="M57" s="95">
        <f t="shared" si="27"/>
        <v>1.3210000000000002</v>
      </c>
      <c r="N57" s="95">
        <f t="shared" si="28"/>
        <v>2.300000000000002E-2</v>
      </c>
      <c r="O57" s="80">
        <f>STDEV(B$5:B57)*SQRT(12)</f>
        <v>0.20225601244918096</v>
      </c>
      <c r="P57" s="80">
        <f>STDEV(C$5:C57)*SQRT(12)</f>
        <v>9.2500168124430432E-2</v>
      </c>
      <c r="Q57" s="82">
        <f t="shared" si="29"/>
        <v>1849.6834759020103</v>
      </c>
      <c r="R57" s="100">
        <f t="shared" si="13"/>
        <v>0.56867084896810516</v>
      </c>
      <c r="S57" s="100">
        <f t="shared" si="14"/>
        <v>0.14499145452334172</v>
      </c>
      <c r="T57" s="100">
        <f t="shared" si="15"/>
        <v>-0.42367939444476344</v>
      </c>
      <c r="U57" s="88">
        <f>AVERAGE($N$5:$N57)</f>
        <v>1.0622641509433966E-2</v>
      </c>
      <c r="V57" s="98">
        <f t="shared" si="16"/>
        <v>7.038642960812783E-3</v>
      </c>
      <c r="W57" s="85">
        <f t="shared" si="17"/>
        <v>6.0407865654536477E-3</v>
      </c>
      <c r="X57" s="85">
        <f t="shared" si="18"/>
        <v>0.1319120249970753</v>
      </c>
      <c r="Y57" s="100">
        <f t="shared" si="19"/>
        <v>0.14499145452334172</v>
      </c>
      <c r="Z57" s="115">
        <f t="shared" si="20"/>
        <v>4.8545226226968117</v>
      </c>
      <c r="AA57" s="115">
        <f t="shared" si="21"/>
        <v>4.1663052386864363</v>
      </c>
      <c r="AB57" s="115">
        <f t="shared" si="22"/>
        <v>90.979172138616761</v>
      </c>
      <c r="AC57" s="83">
        <f t="shared" si="23"/>
        <v>100</v>
      </c>
      <c r="AD57" s="100">
        <f t="shared" si="24"/>
        <v>0.56867084896810516</v>
      </c>
      <c r="AE57" s="100">
        <f t="shared" si="25"/>
        <v>0.14499145452334172</v>
      </c>
      <c r="AF57" s="82">
        <f>MAX(F$4:F57)</f>
        <v>1275.92</v>
      </c>
      <c r="AG57" s="83">
        <f ca="1">MIN(INDIRECT("f"&amp;ROW(AG57)-AH57):F57)</f>
        <v>614.96</v>
      </c>
      <c r="AH57" s="83">
        <f t="shared" si="30"/>
        <v>29</v>
      </c>
      <c r="AI57" s="98" t="str">
        <f t="shared" ca="1" si="31"/>
        <v/>
      </c>
      <c r="AJ57" s="99">
        <f t="shared" ca="1" si="32"/>
        <v>0</v>
      </c>
      <c r="AK57" s="76">
        <f>MAX(G$4:G57)</f>
        <v>1876.25</v>
      </c>
      <c r="AL57" s="17">
        <f ca="1">MIN(INDIRECT("g"&amp;ROW(AL57)-AM57):G57)</f>
        <v>1788.74</v>
      </c>
      <c r="AM57" s="17">
        <f t="shared" si="33"/>
        <v>2</v>
      </c>
      <c r="AN57" s="100">
        <f t="shared" ca="1" si="34"/>
        <v>-4.6640906062624943E-2</v>
      </c>
      <c r="AO57" s="101">
        <f t="shared" ca="1" si="35"/>
        <v>-2.3597547994781531E-2</v>
      </c>
      <c r="AT57" s="88"/>
    </row>
    <row r="58" spans="1:46" ht="13.5">
      <c r="A58" s="94">
        <v>40299</v>
      </c>
      <c r="B58" s="73">
        <v>-8.2900000000000001E-2</v>
      </c>
      <c r="C58" s="74">
        <v>1.55E-2</v>
      </c>
      <c r="D58" s="74">
        <v>0.45440000000000003</v>
      </c>
      <c r="E58" s="75">
        <v>8.0000000000000004E-4</v>
      </c>
      <c r="F58" s="76">
        <v>1098.47</v>
      </c>
      <c r="G58" s="76">
        <v>1841.32</v>
      </c>
      <c r="H58" s="76">
        <v>2090.6799999999998</v>
      </c>
      <c r="I58" s="76">
        <v>1027.6500000000001</v>
      </c>
      <c r="J58" s="77">
        <v>0.63</v>
      </c>
      <c r="K58" s="77">
        <v>0.61</v>
      </c>
      <c r="L58" s="78">
        <f t="shared" si="26"/>
        <v>-0.61</v>
      </c>
      <c r="M58" s="95">
        <f t="shared" si="27"/>
        <v>1.24</v>
      </c>
      <c r="N58" s="95">
        <f t="shared" si="28"/>
        <v>2.0000000000000018E-2</v>
      </c>
      <c r="O58" s="80">
        <f>STDEV(B$5:B58)*SQRT(12)</f>
        <v>0.20443694039869778</v>
      </c>
      <c r="P58" s="80">
        <f>STDEV(C$5:C58)*SQRT(12)</f>
        <v>9.1638871257599397E-2</v>
      </c>
      <c r="Q58" s="82">
        <f t="shared" si="29"/>
        <v>1893.5388744435579</v>
      </c>
      <c r="R58" s="100">
        <f t="shared" si="13"/>
        <v>0.43309849967384229</v>
      </c>
      <c r="S58" s="100">
        <f t="shared" si="14"/>
        <v>0.16559158843599842</v>
      </c>
      <c r="T58" s="100">
        <f t="shared" si="15"/>
        <v>-0.26750691123784387</v>
      </c>
      <c r="U58" s="88">
        <f>AVERAGE($N$5:$N58)</f>
        <v>1.07962962962963E-2</v>
      </c>
      <c r="V58" s="98">
        <f t="shared" si="16"/>
        <v>3.9861102655166653E-3</v>
      </c>
      <c r="W58" s="85">
        <f t="shared" si="17"/>
        <v>4.6758597279601879E-3</v>
      </c>
      <c r="X58" s="85">
        <f t="shared" si="18"/>
        <v>0.15692961844252157</v>
      </c>
      <c r="Y58" s="100">
        <f t="shared" si="19"/>
        <v>0.16559158843599842</v>
      </c>
      <c r="Z58" s="115">
        <f t="shared" si="20"/>
        <v>2.407193688499043</v>
      </c>
      <c r="AA58" s="115">
        <f t="shared" si="21"/>
        <v>2.823730222122617</v>
      </c>
      <c r="AB58" s="115">
        <f t="shared" si="22"/>
        <v>94.769076089378345</v>
      </c>
      <c r="AC58" s="83">
        <f t="shared" si="23"/>
        <v>100.00000000000001</v>
      </c>
      <c r="AD58" s="100">
        <f t="shared" si="24"/>
        <v>0.43309849967384229</v>
      </c>
      <c r="AE58" s="100">
        <f t="shared" si="25"/>
        <v>0.16559158843599842</v>
      </c>
      <c r="AF58" s="82">
        <f>MAX(F$4:F58)</f>
        <v>1275.92</v>
      </c>
      <c r="AG58" s="83">
        <f ca="1">MIN(INDIRECT("f"&amp;ROW(AG58)-AH58):F58)</f>
        <v>614.96</v>
      </c>
      <c r="AH58" s="83">
        <f t="shared" si="30"/>
        <v>30</v>
      </c>
      <c r="AI58" s="98" t="str">
        <f t="shared" ca="1" si="31"/>
        <v/>
      </c>
      <c r="AJ58" s="99">
        <f t="shared" ca="1" si="32"/>
        <v>0</v>
      </c>
      <c r="AK58" s="76">
        <f>MAX(G$4:G58)</f>
        <v>1876.25</v>
      </c>
      <c r="AL58" s="17">
        <f ca="1">MIN(INDIRECT("g"&amp;ROW(AL58)-AM58):G58)</f>
        <v>1788.74</v>
      </c>
      <c r="AM58" s="17">
        <f t="shared" si="33"/>
        <v>3</v>
      </c>
      <c r="AN58" s="100" t="str">
        <f t="shared" ca="1" si="34"/>
        <v/>
      </c>
      <c r="AO58" s="101">
        <f t="shared" ca="1" si="35"/>
        <v>0</v>
      </c>
      <c r="AT58" s="88"/>
    </row>
    <row r="59" spans="1:46" ht="13.5">
      <c r="A59" s="94">
        <v>40330</v>
      </c>
      <c r="B59" s="73">
        <v>-6.5500000000000003E-2</v>
      </c>
      <c r="C59" s="74">
        <v>1.9E-2</v>
      </c>
      <c r="D59" s="74">
        <v>7.6999999999999999E-2</v>
      </c>
      <c r="E59" s="75">
        <v>8.0000000000000004E-4</v>
      </c>
      <c r="F59" s="76">
        <v>1007.4</v>
      </c>
      <c r="G59" s="76">
        <v>1869.86</v>
      </c>
      <c r="H59" s="76">
        <v>3040.68</v>
      </c>
      <c r="I59" s="76">
        <v>1028.48</v>
      </c>
      <c r="J59" s="77">
        <v>0.629</v>
      </c>
      <c r="K59" s="77">
        <v>0.57799999999999996</v>
      </c>
      <c r="L59" s="78">
        <f t="shared" si="26"/>
        <v>-0.57799999999999996</v>
      </c>
      <c r="M59" s="95">
        <f t="shared" si="27"/>
        <v>1.2069999999999999</v>
      </c>
      <c r="N59" s="95">
        <f t="shared" si="28"/>
        <v>5.1000000000000045E-2</v>
      </c>
      <c r="O59" s="80">
        <f>STDEV(B$5:B59)*SQRT(12)</f>
        <v>0.20496727602820952</v>
      </c>
      <c r="P59" s="80">
        <f>STDEV(C$5:C59)*SQRT(12)</f>
        <v>9.0845414264723867E-2</v>
      </c>
      <c r="Q59" s="82">
        <f t="shared" si="29"/>
        <v>1917.855239442626</v>
      </c>
      <c r="R59" s="100">
        <f t="shared" si="13"/>
        <v>0.27206606561103097</v>
      </c>
      <c r="S59" s="100">
        <f t="shared" si="14"/>
        <v>0.12515419376966919</v>
      </c>
      <c r="T59" s="100">
        <f t="shared" si="15"/>
        <v>-0.14691187184136179</v>
      </c>
      <c r="U59" s="88">
        <f>AVERAGE($N$5:$N59)</f>
        <v>1.1527272727272731E-2</v>
      </c>
      <c r="V59" s="98">
        <f t="shared" si="16"/>
        <v>1.073918960802816E-2</v>
      </c>
      <c r="W59" s="85">
        <f t="shared" si="17"/>
        <v>3.136179738134431E-3</v>
      </c>
      <c r="X59" s="85">
        <f t="shared" si="18"/>
        <v>0.11127882442350659</v>
      </c>
      <c r="Y59" s="100">
        <f t="shared" si="19"/>
        <v>0.12515419376966919</v>
      </c>
      <c r="Z59" s="115">
        <f t="shared" si="20"/>
        <v>8.5807668800873831</v>
      </c>
      <c r="AA59" s="115">
        <f t="shared" si="21"/>
        <v>2.5058526955206806</v>
      </c>
      <c r="AB59" s="115">
        <f t="shared" si="22"/>
        <v>88.913380424391931</v>
      </c>
      <c r="AC59" s="83">
        <f t="shared" si="23"/>
        <v>100</v>
      </c>
      <c r="AD59" s="100">
        <f t="shared" si="24"/>
        <v>0.27206606561103097</v>
      </c>
      <c r="AE59" s="100">
        <f t="shared" si="25"/>
        <v>0.12515419376966919</v>
      </c>
      <c r="AF59" s="82">
        <f>MAX(F$4:F59)</f>
        <v>1275.92</v>
      </c>
      <c r="AG59" s="83">
        <f ca="1">MIN(INDIRECT("f"&amp;ROW(AG59)-AH59):F59)</f>
        <v>614.96</v>
      </c>
      <c r="AH59" s="83">
        <f t="shared" si="30"/>
        <v>31</v>
      </c>
      <c r="AI59" s="98" t="str">
        <f t="shared" ca="1" si="31"/>
        <v/>
      </c>
      <c r="AJ59" s="99">
        <f t="shared" ca="1" si="32"/>
        <v>0</v>
      </c>
      <c r="AK59" s="76">
        <f>MAX(G$4:G59)</f>
        <v>1876.25</v>
      </c>
      <c r="AL59" s="17">
        <f ca="1">MIN(INDIRECT("g"&amp;ROW(AL59)-AM59):G59)</f>
        <v>1788.74</v>
      </c>
      <c r="AM59" s="17">
        <f t="shared" si="33"/>
        <v>4</v>
      </c>
      <c r="AN59" s="100" t="str">
        <f t="shared" ca="1" si="34"/>
        <v/>
      </c>
      <c r="AO59" s="101">
        <f t="shared" ca="1" si="35"/>
        <v>0</v>
      </c>
      <c r="AT59" s="88"/>
    </row>
    <row r="60" spans="1:46" ht="13.5">
      <c r="A60" s="94">
        <v>40360</v>
      </c>
      <c r="B60" s="73">
        <v>6.9000000000000006E-2</v>
      </c>
      <c r="C60" s="74">
        <v>1.8E-3</v>
      </c>
      <c r="D60" s="74">
        <v>-0.3196</v>
      </c>
      <c r="E60" s="75">
        <v>8.0000000000000004E-4</v>
      </c>
      <c r="F60" s="76">
        <v>941.42</v>
      </c>
      <c r="G60" s="76">
        <v>1905.39</v>
      </c>
      <c r="H60" s="76">
        <v>3274.81</v>
      </c>
      <c r="I60" s="76">
        <v>1029.3</v>
      </c>
      <c r="J60" s="77">
        <v>0.65100000000000002</v>
      </c>
      <c r="K60" s="77">
        <v>0.63100000000000001</v>
      </c>
      <c r="L60" s="78">
        <f t="shared" si="26"/>
        <v>-0.63100000000000001</v>
      </c>
      <c r="M60" s="95">
        <f t="shared" si="27"/>
        <v>1.282</v>
      </c>
      <c r="N60" s="95">
        <f t="shared" si="28"/>
        <v>2.0000000000000018E-2</v>
      </c>
      <c r="O60" s="80">
        <f>STDEV(B$5:B60)*SQRT(12)</f>
        <v>0.20554355989178305</v>
      </c>
      <c r="P60" s="80">
        <f>STDEV(C$5:C60)*SQRT(12)</f>
        <v>9.0142391039608333E-2</v>
      </c>
      <c r="Q60" s="82">
        <f t="shared" si="29"/>
        <v>1946.2789910412296</v>
      </c>
      <c r="R60" s="100">
        <f t="shared" si="13"/>
        <v>0.14943286570699477</v>
      </c>
      <c r="S60" s="100">
        <f t="shared" si="14"/>
        <v>0.12405094654624205</v>
      </c>
      <c r="T60" s="100">
        <f t="shared" si="15"/>
        <v>-2.5381919160752719E-2</v>
      </c>
      <c r="U60" s="88">
        <f>AVERAGE($N$5:$N60)</f>
        <v>1.1678571428571432E-2</v>
      </c>
      <c r="V60" s="98">
        <f t="shared" si="16"/>
        <v>1.243494918204637E-3</v>
      </c>
      <c r="W60" s="85">
        <f t="shared" si="17"/>
        <v>1.7451623959352609E-3</v>
      </c>
      <c r="X60" s="85">
        <f t="shared" si="18"/>
        <v>0.12106228923210215</v>
      </c>
      <c r="Y60" s="100">
        <f t="shared" si="19"/>
        <v>0.12405094654624205</v>
      </c>
      <c r="Z60" s="115">
        <f t="shared" si="20"/>
        <v>1.0024066343912206</v>
      </c>
      <c r="AA60" s="115">
        <f t="shared" si="21"/>
        <v>1.4068110276649302</v>
      </c>
      <c r="AB60" s="115">
        <f t="shared" si="22"/>
        <v>97.59078233794385</v>
      </c>
      <c r="AC60" s="83">
        <f t="shared" si="23"/>
        <v>100</v>
      </c>
      <c r="AD60" s="100">
        <f t="shared" si="24"/>
        <v>0.14943286570699477</v>
      </c>
      <c r="AE60" s="100">
        <f t="shared" si="25"/>
        <v>0.12405094654624205</v>
      </c>
      <c r="AF60" s="82">
        <f>MAX(F$4:F60)</f>
        <v>1275.92</v>
      </c>
      <c r="AG60" s="83">
        <f ca="1">MIN(INDIRECT("f"&amp;ROW(AG60)-AH60):F60)</f>
        <v>614.96</v>
      </c>
      <c r="AH60" s="83">
        <f t="shared" si="30"/>
        <v>32</v>
      </c>
      <c r="AI60" s="98" t="str">
        <f t="shared" ca="1" si="31"/>
        <v/>
      </c>
      <c r="AJ60" s="99">
        <f t="shared" ca="1" si="32"/>
        <v>0</v>
      </c>
      <c r="AK60" s="76">
        <f>MAX(G$4:G60)</f>
        <v>1905.39</v>
      </c>
      <c r="AL60" s="17">
        <f ca="1">MIN(INDIRECT("g"&amp;ROW(AL60)-AM60):G60)</f>
        <v>1905.39</v>
      </c>
      <c r="AM60" s="17">
        <f t="shared" si="33"/>
        <v>0</v>
      </c>
      <c r="AN60" s="100" t="str">
        <f t="shared" ca="1" si="34"/>
        <v/>
      </c>
      <c r="AO60" s="101">
        <f t="shared" ca="1" si="35"/>
        <v>6.5213502241801447E-2</v>
      </c>
      <c r="AT60" s="88"/>
    </row>
    <row r="61" spans="1:46" ht="13.5">
      <c r="A61" s="94">
        <v>40391</v>
      </c>
      <c r="B61" s="73">
        <v>-6.2399999999999997E-2</v>
      </c>
      <c r="C61" s="74">
        <v>-1.0999999999999999E-2</v>
      </c>
      <c r="D61" s="74">
        <v>0.1085</v>
      </c>
      <c r="E61" s="75">
        <v>8.0000000000000004E-4</v>
      </c>
      <c r="F61" s="76">
        <v>1006.38</v>
      </c>
      <c r="G61" s="76">
        <v>1908.82</v>
      </c>
      <c r="H61" s="76">
        <v>2228.1799999999998</v>
      </c>
      <c r="I61" s="76">
        <v>1030.1199999999999</v>
      </c>
      <c r="J61" s="77">
        <v>0.7</v>
      </c>
      <c r="K61" s="77">
        <v>0.69</v>
      </c>
      <c r="L61" s="78">
        <f t="shared" si="26"/>
        <v>-0.69</v>
      </c>
      <c r="M61" s="95">
        <f t="shared" si="27"/>
        <v>1.39</v>
      </c>
      <c r="N61" s="95">
        <f t="shared" si="28"/>
        <v>1.0000000000000009E-2</v>
      </c>
      <c r="O61" s="80">
        <f>STDEV(B$5:B61)*SQRT(12)</f>
        <v>0.2058250452401755</v>
      </c>
      <c r="P61" s="80">
        <f>STDEV(C$5:C61)*SQRT(12)</f>
        <v>8.9951538331038569E-2</v>
      </c>
      <c r="Q61" s="82">
        <f t="shared" si="29"/>
        <v>1948.7993523245923</v>
      </c>
      <c r="R61" s="100">
        <f t="shared" si="13"/>
        <v>0.13962494904198941</v>
      </c>
      <c r="S61" s="100">
        <f t="shared" si="14"/>
        <v>0.11935869769187457</v>
      </c>
      <c r="T61" s="100">
        <f t="shared" si="15"/>
        <v>-2.0266251350114839E-2</v>
      </c>
      <c r="U61" s="88">
        <f>AVERAGE($N$5:$N61)</f>
        <v>1.1649122807017548E-2</v>
      </c>
      <c r="V61" s="98">
        <f t="shared" si="16"/>
        <v>-2.3025868789380643E-4</v>
      </c>
      <c r="W61" s="85">
        <f t="shared" si="17"/>
        <v>1.6265081783137017E-3</v>
      </c>
      <c r="X61" s="85">
        <f t="shared" si="18"/>
        <v>0.11796244820145467</v>
      </c>
      <c r="Y61" s="100">
        <f t="shared" si="19"/>
        <v>0.11981921506766217</v>
      </c>
      <c r="Z61" s="115">
        <f t="shared" si="20"/>
        <v>-0.19217175455854793</v>
      </c>
      <c r="AA61" s="115">
        <f t="shared" si="21"/>
        <v>1.3574685641157047</v>
      </c>
      <c r="AB61" s="115">
        <f t="shared" si="22"/>
        <v>98.45035968132575</v>
      </c>
      <c r="AC61" s="83">
        <f t="shared" si="23"/>
        <v>100</v>
      </c>
      <c r="AD61" s="100">
        <f t="shared" si="24"/>
        <v>0.13962494904198941</v>
      </c>
      <c r="AE61" s="100">
        <f t="shared" si="25"/>
        <v>0.11935869769187457</v>
      </c>
      <c r="AF61" s="82">
        <f>MAX(F$4:F61)</f>
        <v>1275.92</v>
      </c>
      <c r="AG61" s="83">
        <f ca="1">MIN(INDIRECT("f"&amp;ROW(AG61)-AH61):F61)</f>
        <v>614.96</v>
      </c>
      <c r="AH61" s="83">
        <f t="shared" si="30"/>
        <v>33</v>
      </c>
      <c r="AI61" s="98" t="str">
        <f t="shared" ca="1" si="31"/>
        <v/>
      </c>
      <c r="AJ61" s="99">
        <f t="shared" ca="1" si="32"/>
        <v>0</v>
      </c>
      <c r="AK61" s="76">
        <f>MAX(G$4:G61)</f>
        <v>1908.82</v>
      </c>
      <c r="AL61" s="17">
        <f ca="1">MIN(INDIRECT("g"&amp;ROW(AL61)-AM61):G61)</f>
        <v>1908.82</v>
      </c>
      <c r="AM61" s="17">
        <f t="shared" si="33"/>
        <v>0</v>
      </c>
      <c r="AN61" s="100" t="str">
        <f t="shared" ca="1" si="34"/>
        <v/>
      </c>
      <c r="AO61" s="101">
        <f t="shared" ca="1" si="35"/>
        <v>1.8001563984275659E-3</v>
      </c>
      <c r="AT61" s="88"/>
    </row>
    <row r="62" spans="1:46" ht="13.5">
      <c r="A62" s="94">
        <v>40422</v>
      </c>
      <c r="B62" s="73">
        <v>0.12039999999999999</v>
      </c>
      <c r="C62" s="74">
        <v>1.2999999999999999E-2</v>
      </c>
      <c r="D62" s="74">
        <v>-9.0200000000000002E-2</v>
      </c>
      <c r="E62" s="75">
        <v>8.0000000000000004E-4</v>
      </c>
      <c r="F62" s="76">
        <v>943.58</v>
      </c>
      <c r="G62" s="76">
        <v>1887.83</v>
      </c>
      <c r="H62" s="76">
        <v>2469.94</v>
      </c>
      <c r="I62" s="76">
        <v>1030.95</v>
      </c>
      <c r="J62" s="77">
        <v>0.7</v>
      </c>
      <c r="K62" s="77">
        <v>0.68899999999999995</v>
      </c>
      <c r="L62" s="78">
        <f t="shared" si="26"/>
        <v>-0.68899999999999995</v>
      </c>
      <c r="M62" s="95">
        <f t="shared" si="27"/>
        <v>1.3889999999999998</v>
      </c>
      <c r="N62" s="95">
        <f t="shared" si="28"/>
        <v>1.100000000000001E-2</v>
      </c>
      <c r="O62" s="80">
        <f>STDEV(B$5:B62)*SQRT(12)</f>
        <v>0.2111443586305071</v>
      </c>
      <c r="P62" s="80">
        <f>STDEV(C$5:C62)*SQRT(12)</f>
        <v>8.9161500118875733E-2</v>
      </c>
      <c r="Q62" s="82">
        <f t="shared" si="29"/>
        <v>1933.3660961146784</v>
      </c>
      <c r="R62" s="100">
        <f t="shared" si="13"/>
        <v>5.2304054958290713E-2</v>
      </c>
      <c r="S62" s="100">
        <f t="shared" si="14"/>
        <v>4.7351426922906059E-2</v>
      </c>
      <c r="T62" s="100">
        <f t="shared" si="15"/>
        <v>-4.9526280353846541E-3</v>
      </c>
      <c r="U62" s="88">
        <f>AVERAGE($N$5:$N62)</f>
        <v>1.1637931034482763E-2</v>
      </c>
      <c r="V62" s="98">
        <f t="shared" si="16"/>
        <v>-3.3366379887185164E-5</v>
      </c>
      <c r="W62" s="85">
        <f t="shared" si="17"/>
        <v>6.0871098442838347E-4</v>
      </c>
      <c r="X62" s="85">
        <f t="shared" si="18"/>
        <v>4.6776082318364859E-2</v>
      </c>
      <c r="Y62" s="100">
        <f t="shared" si="19"/>
        <v>4.7418159682680427E-2</v>
      </c>
      <c r="Z62" s="115">
        <f t="shared" si="20"/>
        <v>-7.0366248100877479E-2</v>
      </c>
      <c r="AA62" s="115">
        <f t="shared" si="21"/>
        <v>1.2837085802187223</v>
      </c>
      <c r="AB62" s="115">
        <f t="shared" si="22"/>
        <v>98.645925171680403</v>
      </c>
      <c r="AC62" s="83">
        <f t="shared" si="23"/>
        <v>100.00000000000001</v>
      </c>
      <c r="AD62" s="100">
        <f t="shared" si="24"/>
        <v>5.2304054958290713E-2</v>
      </c>
      <c r="AE62" s="100">
        <f t="shared" si="25"/>
        <v>4.7351426922906059E-2</v>
      </c>
      <c r="AF62" s="82">
        <f>MAX(F$4:F62)</f>
        <v>1275.92</v>
      </c>
      <c r="AG62" s="83">
        <f ca="1">MIN(INDIRECT("f"&amp;ROW(AG62)-AH62):F62)</f>
        <v>614.96</v>
      </c>
      <c r="AH62" s="83">
        <f t="shared" si="30"/>
        <v>34</v>
      </c>
      <c r="AI62" s="98" t="str">
        <f t="shared" ca="1" si="31"/>
        <v/>
      </c>
      <c r="AJ62" s="99">
        <f t="shared" ca="1" si="32"/>
        <v>0</v>
      </c>
      <c r="AK62" s="76">
        <f>MAX(G$4:G62)</f>
        <v>1908.82</v>
      </c>
      <c r="AL62" s="17">
        <f ca="1">MIN(INDIRECT("g"&amp;ROW(AL62)-AM62):G62)</f>
        <v>1887.83</v>
      </c>
      <c r="AM62" s="17">
        <f t="shared" si="33"/>
        <v>1</v>
      </c>
      <c r="AN62" s="100">
        <f t="shared" ca="1" si="34"/>
        <v>-1.0996322335264708E-2</v>
      </c>
      <c r="AO62" s="101">
        <f t="shared" ca="1" si="35"/>
        <v>-1.0996322335264708E-2</v>
      </c>
      <c r="AT62" s="88"/>
    </row>
    <row r="63" spans="1:46" ht="13.5">
      <c r="A63" s="116">
        <v>40452</v>
      </c>
      <c r="B63" s="117">
        <v>5.8599999999999999E-2</v>
      </c>
      <c r="C63" s="118">
        <v>2.07E-2</v>
      </c>
      <c r="D63" s="118">
        <v>-0.1055</v>
      </c>
      <c r="E63" s="119">
        <v>8.0000000000000004E-4</v>
      </c>
      <c r="F63" s="76">
        <v>1057.19</v>
      </c>
      <c r="G63" s="76">
        <v>1912.37</v>
      </c>
      <c r="H63" s="76">
        <v>2247.15</v>
      </c>
      <c r="I63" s="76">
        <v>1031.77</v>
      </c>
      <c r="J63" s="77">
        <v>0.77100000000000002</v>
      </c>
      <c r="K63" s="77">
        <v>0.80700000000000005</v>
      </c>
      <c r="L63" s="78">
        <f t="shared" si="26"/>
        <v>-0.80700000000000005</v>
      </c>
      <c r="M63" s="95">
        <f t="shared" si="27"/>
        <v>1.5780000000000001</v>
      </c>
      <c r="N63" s="95">
        <f t="shared" si="28"/>
        <v>-3.6000000000000032E-2</v>
      </c>
      <c r="O63" s="80">
        <f>STDEV(B$5:B63)*SQRT(12)</f>
        <v>0.21082206418430594</v>
      </c>
      <c r="P63" s="80">
        <f>STDEV(C$5:C63)*SQRT(12)</f>
        <v>8.8485652483889773E-2</v>
      </c>
      <c r="Q63" s="82">
        <f t="shared" si="29"/>
        <v>1949.2937002018084</v>
      </c>
      <c r="R63" s="100">
        <f t="shared" si="13"/>
        <v>0.1160622855634732</v>
      </c>
      <c r="S63" s="100">
        <f t="shared" si="14"/>
        <v>6.3089255536778355E-2</v>
      </c>
      <c r="T63" s="100">
        <f t="shared" si="15"/>
        <v>-5.2973030026694845E-2</v>
      </c>
      <c r="U63" s="88">
        <f>AVERAGE($N$5:$N63)</f>
        <v>1.0830508474576275E-2</v>
      </c>
      <c r="V63" s="98">
        <f t="shared" si="16"/>
        <v>-5.4352558476589274E-3</v>
      </c>
      <c r="W63" s="85">
        <f t="shared" si="17"/>
        <v>1.2570135673738881E-3</v>
      </c>
      <c r="X63" s="85">
        <f t="shared" si="18"/>
        <v>6.7267497817063399E-2</v>
      </c>
      <c r="Y63" s="100">
        <f t="shared" si="19"/>
        <v>7.3959767232096213E-2</v>
      </c>
      <c r="Z63" s="115">
        <f t="shared" si="20"/>
        <v>-7.3489358485976917</v>
      </c>
      <c r="AA63" s="115">
        <f t="shared" si="21"/>
        <v>1.6995910268743839</v>
      </c>
      <c r="AB63" s="115">
        <f t="shared" si="22"/>
        <v>90.951473124527922</v>
      </c>
      <c r="AC63" s="83">
        <f t="shared" si="23"/>
        <v>100</v>
      </c>
      <c r="AD63" s="100">
        <f t="shared" si="24"/>
        <v>0.1160622855634732</v>
      </c>
      <c r="AE63" s="100">
        <f t="shared" si="25"/>
        <v>6.3089255536778355E-2</v>
      </c>
      <c r="AF63" s="82">
        <f>MAX(F$4:F63)</f>
        <v>1275.92</v>
      </c>
      <c r="AG63" s="83">
        <f ca="1">MIN(INDIRECT("f"&amp;ROW(AG63)-AH63):F63)</f>
        <v>614.96</v>
      </c>
      <c r="AH63" s="83">
        <f t="shared" si="30"/>
        <v>35</v>
      </c>
      <c r="AI63" s="98" t="str">
        <f t="shared" ca="1" si="31"/>
        <v/>
      </c>
      <c r="AJ63" s="99">
        <f t="shared" ca="1" si="32"/>
        <v>0</v>
      </c>
      <c r="AK63" s="76">
        <f>MAX(G$4:G63)</f>
        <v>1912.37</v>
      </c>
      <c r="AL63" s="17">
        <f ca="1">MIN(INDIRECT("g"&amp;ROW(AL63)-AM63):G63)</f>
        <v>1912.37</v>
      </c>
      <c r="AM63" s="17">
        <f t="shared" si="33"/>
        <v>0</v>
      </c>
      <c r="AN63" s="100" t="str">
        <f t="shared" ca="1" si="34"/>
        <v/>
      </c>
      <c r="AO63" s="101">
        <f t="shared" ca="1" si="35"/>
        <v>1.2999051821403373E-2</v>
      </c>
      <c r="AT63" s="88"/>
    </row>
    <row r="64" spans="1:46" ht="13.5">
      <c r="A64" s="120"/>
      <c r="B64" s="120"/>
      <c r="C64" s="120"/>
      <c r="D64" s="120"/>
      <c r="E64" s="120"/>
      <c r="H64" s="100"/>
      <c r="I64" s="121"/>
      <c r="O64" s="121"/>
      <c r="P64" s="121"/>
      <c r="Q64" s="121"/>
    </row>
    <row r="65" spans="1:17" ht="13.5">
      <c r="A65" s="120"/>
      <c r="B65" s="120"/>
      <c r="C65" s="120"/>
      <c r="D65" s="120"/>
      <c r="E65" s="120"/>
      <c r="H65" s="100"/>
      <c r="I65" s="121"/>
      <c r="J65" s="120"/>
      <c r="O65" s="121"/>
      <c r="P65" s="121"/>
      <c r="Q65" s="121"/>
    </row>
    <row r="66" spans="1:17" ht="13.5">
      <c r="A66" s="120"/>
      <c r="B66" s="120"/>
      <c r="C66" s="120"/>
      <c r="D66" s="120"/>
      <c r="E66" s="120"/>
      <c r="H66" s="100"/>
      <c r="I66" s="121"/>
      <c r="J66" s="120"/>
      <c r="O66" s="121"/>
      <c r="P66" s="121"/>
      <c r="Q66" s="121"/>
    </row>
    <row r="67" spans="1:17" ht="13.5">
      <c r="A67" s="120"/>
      <c r="B67" s="120"/>
      <c r="C67" s="120"/>
      <c r="D67" s="120"/>
      <c r="E67" s="120"/>
      <c r="H67" s="100"/>
      <c r="I67" s="121"/>
      <c r="J67" s="120"/>
      <c r="O67" s="121"/>
      <c r="P67" s="121"/>
      <c r="Q67" s="121"/>
    </row>
    <row r="68" spans="1:17" ht="13.5">
      <c r="A68" s="120"/>
      <c r="B68" s="120"/>
      <c r="C68" s="120"/>
      <c r="D68" s="120"/>
      <c r="E68" s="120"/>
      <c r="H68" s="100"/>
      <c r="I68" s="121"/>
      <c r="J68" s="120"/>
      <c r="O68" s="121"/>
      <c r="P68" s="121"/>
      <c r="Q68" s="121"/>
    </row>
    <row r="69" spans="1:17" ht="13.5">
      <c r="A69" s="120"/>
      <c r="B69" s="120"/>
      <c r="C69" s="120"/>
      <c r="D69" s="120"/>
      <c r="E69" s="120"/>
      <c r="H69" s="100"/>
      <c r="I69" s="121"/>
      <c r="J69" s="120"/>
      <c r="O69" s="121"/>
      <c r="P69" s="121"/>
      <c r="Q69" s="121"/>
    </row>
    <row r="70" spans="1:17" ht="13.5">
      <c r="A70" s="120"/>
      <c r="B70" s="120"/>
      <c r="C70" s="120"/>
      <c r="D70" s="120"/>
      <c r="E70" s="120"/>
      <c r="H70" s="100"/>
      <c r="I70" s="121"/>
      <c r="J70" s="120"/>
      <c r="O70" s="121"/>
      <c r="P70" s="121"/>
      <c r="Q70" s="121"/>
    </row>
    <row r="71" spans="1:17" ht="13.5">
      <c r="A71" s="120"/>
      <c r="B71" s="120"/>
      <c r="C71" s="120"/>
      <c r="D71" s="120"/>
      <c r="E71" s="120"/>
      <c r="H71" s="100"/>
      <c r="I71" s="121"/>
      <c r="J71" s="120"/>
      <c r="O71" s="121"/>
      <c r="P71" s="121"/>
      <c r="Q71" s="121"/>
    </row>
    <row r="72" spans="1:17" ht="13.5">
      <c r="A72" s="120"/>
      <c r="B72" s="120"/>
      <c r="C72" s="120"/>
      <c r="D72" s="120"/>
      <c r="E72" s="120"/>
      <c r="H72" s="100"/>
      <c r="I72" s="121"/>
      <c r="J72" s="120"/>
      <c r="O72" s="121"/>
      <c r="P72" s="121"/>
      <c r="Q72" s="121"/>
    </row>
    <row r="73" spans="1:17" ht="13.5">
      <c r="A73" s="120"/>
      <c r="B73" s="120"/>
      <c r="C73" s="120"/>
      <c r="D73" s="120"/>
      <c r="E73" s="120"/>
      <c r="H73" s="100"/>
      <c r="I73" s="121"/>
      <c r="J73" s="120"/>
      <c r="O73" s="121"/>
      <c r="P73" s="121"/>
      <c r="Q73" s="121"/>
    </row>
    <row r="74" spans="1:17" ht="13.5">
      <c r="A74" s="120"/>
      <c r="B74" s="120"/>
      <c r="C74" s="120"/>
      <c r="D74" s="120"/>
      <c r="E74" s="120"/>
      <c r="H74" s="100"/>
      <c r="I74" s="121"/>
      <c r="J74" s="120"/>
      <c r="O74" s="121"/>
      <c r="P74" s="121"/>
      <c r="Q74" s="121"/>
    </row>
    <row r="75" spans="1:17" ht="13.5">
      <c r="A75" s="120"/>
      <c r="B75" s="120"/>
      <c r="C75" s="120"/>
      <c r="D75" s="120"/>
      <c r="E75" s="120"/>
      <c r="H75" s="100"/>
      <c r="I75" s="121"/>
      <c r="J75" s="120"/>
      <c r="O75" s="121"/>
      <c r="P75" s="121"/>
      <c r="Q75" s="121"/>
    </row>
    <row r="76" spans="1:17" ht="13.5">
      <c r="A76" s="120"/>
      <c r="B76" s="120"/>
      <c r="C76" s="120"/>
      <c r="D76" s="120"/>
      <c r="E76" s="120"/>
      <c r="H76" s="100"/>
      <c r="I76" s="121"/>
      <c r="J76" s="120"/>
      <c r="O76" s="121"/>
      <c r="P76" s="121"/>
      <c r="Q76" s="121"/>
    </row>
    <row r="77" spans="1:17" ht="13.5">
      <c r="A77" s="120"/>
      <c r="B77" s="120"/>
      <c r="C77" s="120"/>
      <c r="D77" s="120"/>
      <c r="E77" s="120"/>
      <c r="H77" s="100"/>
      <c r="I77" s="121"/>
      <c r="J77" s="120"/>
      <c r="O77" s="121"/>
      <c r="P77" s="121"/>
      <c r="Q77" s="121"/>
    </row>
    <row r="78" spans="1:17" ht="13.5">
      <c r="A78" s="120"/>
      <c r="B78" s="120"/>
      <c r="C78" s="120"/>
      <c r="D78" s="120"/>
      <c r="E78" s="120"/>
      <c r="H78" s="100"/>
      <c r="I78" s="121"/>
      <c r="J78" s="120"/>
      <c r="O78" s="121"/>
      <c r="P78" s="121"/>
      <c r="Q78" s="121"/>
    </row>
    <row r="79" spans="1:17" ht="13.5">
      <c r="A79" s="120"/>
      <c r="B79" s="120"/>
      <c r="C79" s="120"/>
      <c r="D79" s="120"/>
      <c r="E79" s="120"/>
      <c r="H79" s="100"/>
      <c r="I79" s="121"/>
      <c r="J79" s="120"/>
      <c r="O79" s="121"/>
      <c r="P79" s="121"/>
      <c r="Q79" s="121"/>
    </row>
    <row r="80" spans="1:17" ht="13.5">
      <c r="A80" s="120"/>
      <c r="B80" s="120"/>
      <c r="C80" s="120"/>
      <c r="D80" s="120"/>
      <c r="E80" s="120"/>
      <c r="H80" s="100"/>
      <c r="I80" s="121"/>
      <c r="J80" s="120"/>
      <c r="O80" s="121"/>
      <c r="P80" s="121"/>
      <c r="Q80" s="121"/>
    </row>
    <row r="81" spans="1:17" ht="13.5">
      <c r="A81" s="120"/>
      <c r="B81" s="120"/>
      <c r="C81" s="120"/>
      <c r="D81" s="120"/>
      <c r="E81" s="120"/>
      <c r="H81" s="100"/>
      <c r="I81" s="121"/>
      <c r="J81" s="120"/>
      <c r="O81" s="121"/>
      <c r="P81" s="121"/>
      <c r="Q81" s="121"/>
    </row>
    <row r="82" spans="1:17" ht="13.5">
      <c r="A82" s="120"/>
      <c r="B82" s="120"/>
      <c r="C82" s="120"/>
      <c r="D82" s="120"/>
      <c r="E82" s="120"/>
      <c r="H82" s="100"/>
      <c r="I82" s="121"/>
      <c r="J82" s="120"/>
      <c r="O82" s="121"/>
      <c r="P82" s="121"/>
      <c r="Q82" s="121"/>
    </row>
    <row r="83" spans="1:17" ht="13.5">
      <c r="A83" s="120"/>
      <c r="B83" s="120"/>
      <c r="C83" s="120"/>
      <c r="D83" s="120"/>
      <c r="E83" s="120"/>
      <c r="H83" s="100"/>
      <c r="I83" s="121"/>
      <c r="J83" s="120"/>
      <c r="O83" s="121"/>
      <c r="P83" s="121"/>
      <c r="Q83" s="121"/>
    </row>
    <row r="84" spans="1:17" ht="13.5">
      <c r="A84" s="120"/>
      <c r="B84" s="120"/>
      <c r="C84" s="120"/>
      <c r="D84" s="120"/>
      <c r="E84" s="120"/>
      <c r="H84" s="100"/>
      <c r="I84" s="121"/>
      <c r="J84" s="120"/>
      <c r="O84" s="121"/>
      <c r="P84" s="121"/>
      <c r="Q84" s="121"/>
    </row>
    <row r="85" spans="1:17" ht="13.5">
      <c r="A85" s="120"/>
      <c r="B85" s="120"/>
      <c r="C85" s="120"/>
      <c r="D85" s="120"/>
      <c r="E85" s="120"/>
      <c r="H85" s="100"/>
      <c r="I85" s="121"/>
      <c r="J85" s="120"/>
      <c r="O85" s="121"/>
      <c r="P85" s="121"/>
      <c r="Q85" s="121"/>
    </row>
    <row r="86" spans="1:17" ht="13.5">
      <c r="A86" s="120"/>
      <c r="B86" s="120"/>
      <c r="C86" s="120"/>
      <c r="D86" s="120"/>
      <c r="E86" s="120"/>
      <c r="H86" s="100"/>
      <c r="I86" s="121"/>
      <c r="J86" s="120"/>
      <c r="O86" s="121"/>
      <c r="P86" s="121"/>
      <c r="Q86" s="121"/>
    </row>
    <row r="87" spans="1:17" ht="13.5">
      <c r="A87" s="120"/>
      <c r="B87" s="120"/>
      <c r="C87" s="120"/>
      <c r="D87" s="120"/>
      <c r="E87" s="120"/>
      <c r="H87" s="100"/>
      <c r="I87" s="121"/>
      <c r="J87" s="120"/>
      <c r="O87" s="121"/>
      <c r="P87" s="121"/>
      <c r="Q87" s="121"/>
    </row>
    <row r="88" spans="1:17" ht="13.5">
      <c r="A88" s="120"/>
      <c r="B88" s="120"/>
      <c r="C88" s="120"/>
      <c r="D88" s="120"/>
      <c r="E88" s="120"/>
      <c r="H88" s="100"/>
      <c r="I88" s="121"/>
      <c r="J88" s="120"/>
      <c r="O88" s="121"/>
      <c r="P88" s="121"/>
      <c r="Q88" s="121"/>
    </row>
    <row r="89" spans="1:17" ht="13.5">
      <c r="A89" s="120"/>
      <c r="B89" s="120"/>
      <c r="C89" s="120"/>
      <c r="D89" s="120"/>
      <c r="E89" s="120"/>
      <c r="H89" s="100"/>
      <c r="I89" s="121"/>
      <c r="J89" s="120"/>
      <c r="O89" s="121"/>
      <c r="P89" s="121"/>
      <c r="Q89" s="121"/>
    </row>
    <row r="90" spans="1:17" ht="13.5">
      <c r="A90" s="120"/>
      <c r="B90" s="120"/>
      <c r="C90" s="120"/>
      <c r="D90" s="120"/>
      <c r="E90" s="120"/>
      <c r="H90" s="100"/>
      <c r="I90" s="121"/>
      <c r="J90" s="120"/>
      <c r="O90" s="121"/>
      <c r="P90" s="121"/>
      <c r="Q90" s="121"/>
    </row>
    <row r="91" spans="1:17" ht="13.5">
      <c r="A91" s="120"/>
      <c r="B91" s="120"/>
      <c r="C91" s="120"/>
      <c r="D91" s="120"/>
      <c r="E91" s="120"/>
      <c r="H91" s="100"/>
      <c r="I91" s="121"/>
      <c r="J91" s="120"/>
      <c r="O91" s="121"/>
      <c r="P91" s="121"/>
      <c r="Q91" s="121"/>
    </row>
    <row r="92" spans="1:17" ht="13.5">
      <c r="A92" s="120"/>
      <c r="B92" s="120"/>
      <c r="C92" s="120"/>
      <c r="D92" s="120"/>
      <c r="E92" s="120"/>
      <c r="H92" s="100"/>
      <c r="I92" s="121"/>
      <c r="J92" s="120"/>
      <c r="O92" s="121"/>
      <c r="P92" s="121"/>
      <c r="Q92" s="121"/>
    </row>
    <row r="93" spans="1:17" ht="13.5">
      <c r="A93" s="120"/>
      <c r="B93" s="120"/>
      <c r="C93" s="120"/>
      <c r="D93" s="120"/>
      <c r="E93" s="120"/>
      <c r="H93" s="100"/>
      <c r="I93" s="121"/>
      <c r="J93" s="120"/>
      <c r="O93" s="121"/>
      <c r="P93" s="121"/>
      <c r="Q93" s="121"/>
    </row>
    <row r="94" spans="1:17" ht="13.5">
      <c r="A94" s="120"/>
      <c r="B94" s="120"/>
      <c r="C94" s="120"/>
      <c r="D94" s="120"/>
      <c r="E94" s="120"/>
      <c r="H94" s="100"/>
      <c r="I94" s="121"/>
      <c r="J94" s="120"/>
      <c r="O94" s="121"/>
      <c r="P94" s="121"/>
      <c r="Q94" s="121"/>
    </row>
    <row r="95" spans="1:17" ht="13.5">
      <c r="A95" s="120"/>
      <c r="B95" s="120"/>
      <c r="C95" s="120"/>
      <c r="D95" s="120"/>
      <c r="E95" s="120"/>
      <c r="H95" s="100"/>
      <c r="I95" s="121"/>
      <c r="J95" s="120"/>
      <c r="O95" s="121"/>
      <c r="P95" s="121"/>
      <c r="Q95" s="121"/>
    </row>
    <row r="96" spans="1:17" ht="13.5">
      <c r="A96" s="120"/>
      <c r="B96" s="120"/>
      <c r="C96" s="120"/>
      <c r="D96" s="120"/>
      <c r="E96" s="120"/>
      <c r="H96" s="100"/>
      <c r="I96" s="121"/>
      <c r="J96" s="120"/>
      <c r="O96" s="121"/>
      <c r="P96" s="121"/>
      <c r="Q96" s="121"/>
    </row>
    <row r="97" spans="1:17" ht="13.5">
      <c r="A97" s="120"/>
      <c r="B97" s="120"/>
      <c r="C97" s="120"/>
      <c r="D97" s="120"/>
      <c r="E97" s="120"/>
      <c r="H97" s="100"/>
      <c r="I97" s="121"/>
      <c r="J97" s="120"/>
      <c r="O97" s="121"/>
      <c r="P97" s="121"/>
      <c r="Q97" s="121"/>
    </row>
    <row r="98" spans="1:17" ht="13.5">
      <c r="A98" s="120"/>
      <c r="B98" s="120"/>
      <c r="C98" s="120"/>
      <c r="D98" s="120"/>
      <c r="E98" s="120"/>
      <c r="H98" s="100"/>
      <c r="I98" s="121"/>
      <c r="J98" s="120"/>
      <c r="O98" s="121"/>
      <c r="P98" s="121"/>
      <c r="Q98" s="121"/>
    </row>
    <row r="99" spans="1:17" ht="13.5">
      <c r="A99" s="120"/>
      <c r="B99" s="120"/>
      <c r="C99" s="120"/>
      <c r="D99" s="120"/>
      <c r="E99" s="120"/>
      <c r="H99" s="100"/>
      <c r="I99" s="121"/>
      <c r="J99" s="120"/>
      <c r="O99" s="121"/>
      <c r="P99" s="121"/>
      <c r="Q99" s="121"/>
    </row>
    <row r="100" spans="1:17" ht="13.5">
      <c r="A100" s="120"/>
      <c r="B100" s="120"/>
      <c r="C100" s="120"/>
      <c r="D100" s="120"/>
      <c r="E100" s="120"/>
      <c r="H100" s="100"/>
      <c r="I100" s="121"/>
      <c r="J100" s="120"/>
      <c r="O100" s="121"/>
      <c r="P100" s="121"/>
      <c r="Q100" s="121"/>
    </row>
    <row r="101" spans="1:17" ht="13.5">
      <c r="A101" s="120"/>
      <c r="B101" s="120"/>
      <c r="C101" s="120"/>
      <c r="D101" s="120"/>
      <c r="E101" s="120"/>
      <c r="H101" s="100"/>
      <c r="I101" s="121"/>
      <c r="J101" s="120"/>
      <c r="O101" s="121"/>
      <c r="P101" s="121"/>
      <c r="Q101" s="121"/>
    </row>
    <row r="102" spans="1:17" ht="13.5">
      <c r="A102" s="120"/>
      <c r="B102" s="120"/>
      <c r="C102" s="120"/>
      <c r="D102" s="120"/>
      <c r="E102" s="120"/>
      <c r="H102" s="100"/>
      <c r="I102" s="121"/>
      <c r="J102" s="120"/>
      <c r="O102" s="121"/>
      <c r="P102" s="121"/>
      <c r="Q102" s="121"/>
    </row>
    <row r="103" spans="1:17" ht="13.5">
      <c r="A103" s="120"/>
      <c r="B103" s="120"/>
      <c r="C103" s="120"/>
      <c r="D103" s="120"/>
      <c r="E103" s="120"/>
      <c r="H103" s="100"/>
      <c r="I103" s="121"/>
      <c r="J103" s="120"/>
      <c r="O103" s="121"/>
      <c r="P103" s="121"/>
      <c r="Q103" s="121"/>
    </row>
    <row r="104" spans="1:17" ht="13.5">
      <c r="A104" s="120"/>
      <c r="B104" s="120"/>
      <c r="C104" s="120"/>
      <c r="D104" s="120"/>
      <c r="E104" s="120"/>
      <c r="H104" s="100"/>
      <c r="I104" s="121"/>
      <c r="J104" s="120"/>
      <c r="O104" s="121"/>
      <c r="P104" s="121"/>
      <c r="Q104" s="121"/>
    </row>
    <row r="105" spans="1:17" ht="13.5">
      <c r="A105" s="120"/>
      <c r="B105" s="120"/>
      <c r="C105" s="120"/>
      <c r="D105" s="120"/>
      <c r="E105" s="120"/>
      <c r="H105" s="100"/>
      <c r="I105" s="121"/>
      <c r="J105" s="120"/>
      <c r="O105" s="121"/>
      <c r="P105" s="121"/>
      <c r="Q105" s="121"/>
    </row>
    <row r="106" spans="1:17" ht="13.5">
      <c r="A106" s="120"/>
      <c r="B106" s="120"/>
      <c r="C106" s="120"/>
      <c r="D106" s="120"/>
      <c r="E106" s="120"/>
      <c r="H106" s="100"/>
      <c r="I106" s="121"/>
      <c r="J106" s="120"/>
      <c r="O106" s="121"/>
      <c r="P106" s="121"/>
      <c r="Q106" s="121"/>
    </row>
    <row r="107" spans="1:17" ht="13.5">
      <c r="A107" s="120"/>
      <c r="B107" s="120"/>
      <c r="C107" s="120"/>
      <c r="D107" s="120"/>
      <c r="E107" s="120"/>
      <c r="H107" s="100"/>
      <c r="I107" s="121"/>
      <c r="J107" s="120"/>
      <c r="O107" s="121"/>
      <c r="P107" s="121"/>
      <c r="Q107" s="121"/>
    </row>
    <row r="108" spans="1:17" ht="13.5">
      <c r="A108" s="120"/>
      <c r="B108" s="120"/>
      <c r="C108" s="120"/>
      <c r="D108" s="120"/>
      <c r="E108" s="120"/>
      <c r="H108" s="100"/>
      <c r="I108" s="121"/>
      <c r="J108" s="120"/>
      <c r="O108" s="121"/>
      <c r="P108" s="121"/>
      <c r="Q108" s="121"/>
    </row>
    <row r="109" spans="1:17" ht="13.5">
      <c r="A109" s="120"/>
      <c r="B109" s="120"/>
      <c r="C109" s="120"/>
      <c r="D109" s="120"/>
      <c r="E109" s="120"/>
      <c r="H109" s="100"/>
      <c r="I109" s="121"/>
      <c r="J109" s="120"/>
      <c r="O109" s="121"/>
      <c r="P109" s="121"/>
      <c r="Q109" s="121"/>
    </row>
    <row r="110" spans="1:17" ht="13.5">
      <c r="A110" s="120"/>
      <c r="B110" s="120"/>
      <c r="C110" s="120"/>
      <c r="D110" s="120"/>
      <c r="E110" s="120"/>
      <c r="H110" s="100"/>
      <c r="I110" s="121"/>
      <c r="J110" s="120"/>
      <c r="O110" s="121"/>
      <c r="P110" s="121"/>
      <c r="Q110" s="121"/>
    </row>
    <row r="111" spans="1:17" ht="13.5">
      <c r="A111" s="120"/>
      <c r="B111" s="120"/>
      <c r="C111" s="120"/>
      <c r="D111" s="120"/>
      <c r="E111" s="120"/>
      <c r="H111" s="100"/>
      <c r="I111" s="121"/>
      <c r="J111" s="120"/>
      <c r="O111" s="121"/>
      <c r="P111" s="121"/>
      <c r="Q111" s="121"/>
    </row>
    <row r="112" spans="1:17" ht="13.5">
      <c r="A112" s="120"/>
      <c r="B112" s="120"/>
      <c r="C112" s="120"/>
      <c r="D112" s="120"/>
      <c r="E112" s="120"/>
      <c r="H112" s="100"/>
      <c r="I112" s="121"/>
      <c r="J112" s="120"/>
      <c r="O112" s="121"/>
      <c r="P112" s="121"/>
      <c r="Q112" s="121"/>
    </row>
    <row r="113" spans="1:17" ht="13.5">
      <c r="A113" s="120"/>
      <c r="B113" s="120"/>
      <c r="C113" s="120"/>
      <c r="D113" s="120"/>
      <c r="E113" s="120"/>
      <c r="H113" s="100"/>
      <c r="I113" s="121"/>
      <c r="J113" s="120"/>
      <c r="O113" s="121"/>
      <c r="P113" s="121"/>
      <c r="Q113" s="121"/>
    </row>
    <row r="114" spans="1:17" ht="13.5">
      <c r="A114" s="120"/>
      <c r="B114" s="120"/>
      <c r="C114" s="120"/>
      <c r="D114" s="120"/>
      <c r="E114" s="120"/>
      <c r="H114" s="100"/>
      <c r="I114" s="121"/>
      <c r="J114" s="120"/>
      <c r="O114" s="121"/>
      <c r="P114" s="121"/>
      <c r="Q114" s="121"/>
    </row>
    <row r="115" spans="1:17" ht="13.5">
      <c r="A115" s="120"/>
      <c r="B115" s="120"/>
      <c r="C115" s="120"/>
      <c r="D115" s="120"/>
      <c r="E115" s="120"/>
      <c r="H115" s="100"/>
      <c r="I115" s="121"/>
      <c r="J115" s="120"/>
      <c r="O115" s="121"/>
      <c r="P115" s="121"/>
      <c r="Q115" s="121"/>
    </row>
    <row r="116" spans="1:17" ht="13.5">
      <c r="A116" s="120"/>
      <c r="B116" s="120"/>
      <c r="C116" s="120"/>
      <c r="D116" s="120"/>
      <c r="E116" s="120"/>
      <c r="H116" s="100"/>
      <c r="I116" s="121"/>
      <c r="J116" s="120"/>
      <c r="O116" s="121"/>
      <c r="P116" s="121"/>
      <c r="Q116" s="121"/>
    </row>
    <row r="117" spans="1:17" ht="13.5">
      <c r="A117" s="120"/>
      <c r="B117" s="120"/>
      <c r="C117" s="120"/>
      <c r="D117" s="120"/>
      <c r="E117" s="120"/>
      <c r="H117" s="100"/>
      <c r="I117" s="121"/>
      <c r="J117" s="120"/>
      <c r="O117" s="121"/>
      <c r="P117" s="121"/>
      <c r="Q117" s="121"/>
    </row>
    <row r="118" spans="1:17" ht="13.5">
      <c r="A118" s="120"/>
      <c r="B118" s="120"/>
      <c r="C118" s="120"/>
      <c r="D118" s="120"/>
      <c r="E118" s="120"/>
      <c r="H118" s="100"/>
      <c r="I118" s="121"/>
      <c r="O118" s="121"/>
      <c r="P118" s="121"/>
      <c r="Q118" s="121"/>
    </row>
    <row r="119" spans="1:17" ht="13.5">
      <c r="A119" s="120"/>
      <c r="B119" s="120"/>
      <c r="C119" s="120"/>
      <c r="D119" s="120"/>
      <c r="E119" s="120"/>
      <c r="H119" s="100"/>
      <c r="I119" s="121"/>
      <c r="O119" s="121"/>
      <c r="P119" s="121"/>
      <c r="Q119" s="121"/>
    </row>
    <row r="120" spans="1:17" ht="13.5">
      <c r="A120" s="120"/>
      <c r="B120" s="120"/>
      <c r="C120" s="120"/>
      <c r="D120" s="120"/>
      <c r="E120" s="120"/>
      <c r="H120" s="100"/>
      <c r="I120" s="121"/>
      <c r="O120" s="121"/>
      <c r="P120" s="121"/>
      <c r="Q120" s="121"/>
    </row>
    <row r="121" spans="1:17" ht="13.5">
      <c r="A121" s="120"/>
      <c r="B121" s="120"/>
      <c r="C121" s="120"/>
      <c r="D121" s="120"/>
      <c r="E121" s="120"/>
      <c r="H121" s="100"/>
      <c r="I121" s="121"/>
      <c r="O121" s="121"/>
      <c r="P121" s="121"/>
      <c r="Q121" s="121"/>
    </row>
    <row r="122" spans="1:17" ht="13.5">
      <c r="A122" s="120"/>
      <c r="B122" s="120"/>
      <c r="C122" s="120"/>
      <c r="D122" s="120"/>
      <c r="E122" s="120"/>
      <c r="H122" s="100"/>
      <c r="I122" s="121"/>
      <c r="O122" s="121"/>
      <c r="P122" s="121"/>
      <c r="Q122" s="121"/>
    </row>
    <row r="123" spans="1:17" ht="13.5">
      <c r="A123" s="120"/>
      <c r="B123" s="120"/>
      <c r="C123" s="120"/>
      <c r="D123" s="120"/>
      <c r="E123" s="120"/>
      <c r="H123" s="100"/>
      <c r="I123" s="121"/>
      <c r="O123" s="121"/>
      <c r="P123" s="121"/>
      <c r="Q123" s="121"/>
    </row>
    <row r="124" spans="1:17" ht="13.5">
      <c r="A124" s="120"/>
      <c r="B124" s="120"/>
      <c r="C124" s="120"/>
      <c r="D124" s="120"/>
      <c r="E124" s="120"/>
      <c r="H124" s="100"/>
      <c r="I124" s="121"/>
      <c r="O124" s="121"/>
      <c r="P124" s="121"/>
      <c r="Q124" s="121"/>
    </row>
    <row r="125" spans="1:17" ht="13.5">
      <c r="A125" s="120"/>
      <c r="B125" s="120"/>
      <c r="C125" s="120"/>
      <c r="D125" s="120"/>
      <c r="E125" s="120"/>
      <c r="H125" s="100"/>
      <c r="I125" s="121"/>
      <c r="O125" s="121"/>
      <c r="P125" s="121"/>
      <c r="Q125" s="121"/>
    </row>
    <row r="126" spans="1:17" ht="13.5">
      <c r="A126" s="120"/>
      <c r="B126" s="120"/>
      <c r="C126" s="120"/>
      <c r="D126" s="120"/>
      <c r="E126" s="120"/>
      <c r="H126" s="100"/>
      <c r="I126" s="121"/>
      <c r="O126" s="121"/>
      <c r="P126" s="121"/>
      <c r="Q126" s="121"/>
    </row>
    <row r="127" spans="1:17" ht="13.5">
      <c r="A127" s="120"/>
      <c r="B127" s="120"/>
      <c r="C127" s="120"/>
      <c r="D127" s="120"/>
      <c r="E127" s="120"/>
      <c r="H127" s="100"/>
      <c r="I127" s="121"/>
      <c r="O127" s="121"/>
      <c r="P127" s="121"/>
      <c r="Q127" s="121"/>
    </row>
    <row r="128" spans="1:17" ht="13.5">
      <c r="A128" s="120"/>
      <c r="B128" s="120"/>
      <c r="C128" s="120"/>
      <c r="D128" s="120"/>
      <c r="E128" s="120"/>
      <c r="H128" s="100"/>
      <c r="I128" s="121"/>
      <c r="O128" s="121"/>
      <c r="P128" s="121"/>
      <c r="Q128" s="121"/>
    </row>
    <row r="129" spans="1:17" ht="13.5">
      <c r="A129" s="120"/>
      <c r="B129" s="120"/>
      <c r="C129" s="120"/>
      <c r="D129" s="120"/>
      <c r="E129" s="120"/>
      <c r="H129" s="100"/>
      <c r="I129" s="121"/>
      <c r="O129" s="121"/>
      <c r="P129" s="121"/>
      <c r="Q129" s="121"/>
    </row>
    <row r="130" spans="1:17" ht="13.5">
      <c r="A130" s="120"/>
      <c r="B130" s="120"/>
      <c r="C130" s="120"/>
      <c r="D130" s="120"/>
      <c r="E130" s="120"/>
      <c r="H130" s="100"/>
      <c r="I130" s="121"/>
      <c r="O130" s="121"/>
      <c r="P130" s="121"/>
      <c r="Q130" s="121"/>
    </row>
    <row r="131" spans="1:17" ht="13.5">
      <c r="A131" s="120"/>
      <c r="B131" s="120"/>
      <c r="C131" s="120"/>
      <c r="D131" s="120"/>
      <c r="E131" s="120"/>
      <c r="H131" s="100"/>
      <c r="I131" s="121"/>
      <c r="O131" s="121"/>
      <c r="P131" s="121"/>
      <c r="Q131" s="121"/>
    </row>
    <row r="132" spans="1:17" ht="13.5">
      <c r="A132" s="120"/>
      <c r="B132" s="120"/>
      <c r="C132" s="120"/>
      <c r="D132" s="120"/>
      <c r="E132" s="120"/>
      <c r="H132" s="100"/>
      <c r="I132" s="121"/>
      <c r="O132" s="121"/>
      <c r="P132" s="121"/>
      <c r="Q132" s="121"/>
    </row>
    <row r="133" spans="1:17" ht="13.5">
      <c r="A133" s="120"/>
      <c r="B133" s="120"/>
      <c r="C133" s="120"/>
      <c r="D133" s="120"/>
      <c r="E133" s="120"/>
      <c r="H133" s="100"/>
      <c r="I133" s="121"/>
      <c r="O133" s="121"/>
      <c r="P133" s="121"/>
      <c r="Q133" s="121"/>
    </row>
    <row r="134" spans="1:17" ht="13.5">
      <c r="A134" s="120"/>
      <c r="B134" s="120"/>
      <c r="C134" s="120"/>
      <c r="D134" s="120"/>
      <c r="E134" s="120"/>
      <c r="H134" s="100"/>
      <c r="I134" s="121"/>
      <c r="O134" s="121"/>
      <c r="P134" s="121"/>
      <c r="Q134" s="121"/>
    </row>
    <row r="135" spans="1:17" ht="13.5">
      <c r="A135" s="120"/>
      <c r="B135" s="120"/>
      <c r="C135" s="120"/>
      <c r="D135" s="120"/>
      <c r="E135" s="120"/>
      <c r="H135" s="100"/>
      <c r="I135" s="121"/>
      <c r="O135" s="121"/>
      <c r="P135" s="121"/>
      <c r="Q135" s="121"/>
    </row>
    <row r="136" spans="1:17" ht="13.5">
      <c r="A136" s="120"/>
      <c r="B136" s="120"/>
      <c r="C136" s="120"/>
      <c r="D136" s="120"/>
      <c r="E136" s="120"/>
      <c r="H136" s="100"/>
      <c r="I136" s="121"/>
      <c r="O136" s="121"/>
      <c r="P136" s="121"/>
      <c r="Q136" s="121"/>
    </row>
    <row r="137" spans="1:17" ht="13.5">
      <c r="A137" s="120"/>
      <c r="B137" s="120"/>
      <c r="C137" s="120"/>
      <c r="D137" s="120"/>
      <c r="E137" s="120"/>
      <c r="H137" s="100"/>
      <c r="I137" s="121"/>
      <c r="O137" s="121"/>
      <c r="P137" s="121"/>
      <c r="Q137" s="121"/>
    </row>
    <row r="138" spans="1:17" ht="13.5">
      <c r="A138" s="120"/>
      <c r="B138" s="120"/>
      <c r="C138" s="120"/>
      <c r="D138" s="120"/>
      <c r="E138" s="120"/>
      <c r="H138" s="100"/>
      <c r="I138" s="121"/>
      <c r="O138" s="121"/>
      <c r="P138" s="121"/>
      <c r="Q138" s="121"/>
    </row>
    <row r="139" spans="1:17" ht="13.5">
      <c r="A139" s="120"/>
      <c r="B139" s="120"/>
      <c r="C139" s="120"/>
      <c r="D139" s="120"/>
      <c r="E139" s="120"/>
      <c r="H139" s="100"/>
      <c r="I139" s="121"/>
      <c r="O139" s="121"/>
      <c r="P139" s="121"/>
      <c r="Q139" s="121"/>
    </row>
    <row r="140" spans="1:17" ht="13.5">
      <c r="A140" s="120"/>
      <c r="B140" s="120"/>
      <c r="C140" s="120"/>
      <c r="D140" s="120"/>
      <c r="E140" s="120"/>
      <c r="H140" s="100"/>
      <c r="I140" s="121"/>
      <c r="O140" s="121"/>
      <c r="P140" s="121"/>
      <c r="Q140" s="121"/>
    </row>
    <row r="141" spans="1:17" ht="13.5">
      <c r="A141" s="120"/>
      <c r="B141" s="120"/>
      <c r="C141" s="120"/>
      <c r="D141" s="120"/>
      <c r="E141" s="120"/>
      <c r="H141" s="100"/>
      <c r="I141" s="121"/>
      <c r="O141" s="121"/>
      <c r="P141" s="121"/>
      <c r="Q141" s="121"/>
    </row>
    <row r="142" spans="1:17" ht="13.5">
      <c r="A142" s="120"/>
      <c r="B142" s="120"/>
      <c r="C142" s="120"/>
      <c r="D142" s="120"/>
      <c r="E142" s="120"/>
      <c r="H142" s="100"/>
      <c r="I142" s="121"/>
      <c r="O142" s="121"/>
      <c r="P142" s="121"/>
      <c r="Q142" s="121"/>
    </row>
    <row r="143" spans="1:17" ht="13.5">
      <c r="A143" s="120"/>
      <c r="B143" s="120"/>
      <c r="C143" s="120"/>
      <c r="D143" s="120"/>
      <c r="E143" s="120"/>
      <c r="H143" s="100"/>
      <c r="I143" s="121"/>
      <c r="O143" s="121"/>
      <c r="P143" s="121"/>
      <c r="Q143" s="121"/>
    </row>
    <row r="144" spans="1:17" ht="13.5">
      <c r="A144" s="120"/>
      <c r="B144" s="120"/>
      <c r="C144" s="120"/>
      <c r="D144" s="120"/>
      <c r="E144" s="120"/>
      <c r="H144" s="100"/>
      <c r="I144" s="121"/>
      <c r="O144" s="121"/>
      <c r="P144" s="121"/>
      <c r="Q144" s="121"/>
    </row>
    <row r="145" spans="1:17" ht="13.5">
      <c r="A145" s="120"/>
      <c r="B145" s="120"/>
      <c r="C145" s="120"/>
      <c r="D145" s="120"/>
      <c r="E145" s="120"/>
      <c r="H145" s="100"/>
      <c r="I145" s="121"/>
      <c r="O145" s="121"/>
      <c r="P145" s="121"/>
      <c r="Q145" s="121"/>
    </row>
    <row r="146" spans="1:17" ht="13.5">
      <c r="A146" s="120"/>
      <c r="B146" s="120"/>
      <c r="C146" s="120"/>
      <c r="D146" s="120"/>
      <c r="E146" s="120"/>
      <c r="H146" s="100"/>
      <c r="I146" s="121"/>
      <c r="O146" s="121"/>
      <c r="P146" s="121"/>
      <c r="Q146" s="121"/>
    </row>
    <row r="147" spans="1:17" ht="13.5">
      <c r="A147" s="120"/>
      <c r="B147" s="120"/>
      <c r="C147" s="120"/>
      <c r="D147" s="120"/>
      <c r="E147" s="120"/>
      <c r="H147" s="100"/>
      <c r="I147" s="121"/>
      <c r="O147" s="121"/>
      <c r="P147" s="121"/>
      <c r="Q147" s="121"/>
    </row>
    <row r="148" spans="1:17" ht="13.5">
      <c r="A148" s="120"/>
      <c r="B148" s="120"/>
      <c r="C148" s="120"/>
      <c r="D148" s="120"/>
      <c r="E148" s="120"/>
      <c r="H148" s="100"/>
      <c r="I148" s="121"/>
      <c r="O148" s="121"/>
      <c r="P148" s="121"/>
      <c r="Q148" s="121"/>
    </row>
    <row r="149" spans="1:17" ht="13.5">
      <c r="A149" s="120"/>
      <c r="B149" s="120"/>
      <c r="C149" s="120"/>
      <c r="D149" s="120"/>
      <c r="E149" s="120"/>
      <c r="H149" s="100"/>
      <c r="I149" s="121"/>
      <c r="O149" s="121"/>
      <c r="P149" s="121"/>
      <c r="Q149" s="121"/>
    </row>
    <row r="150" spans="1:17" ht="13.5">
      <c r="A150" s="120"/>
      <c r="B150" s="120"/>
      <c r="C150" s="120"/>
      <c r="D150" s="120"/>
      <c r="E150" s="120"/>
      <c r="H150" s="100"/>
      <c r="I150" s="121"/>
      <c r="O150" s="121"/>
      <c r="P150" s="121"/>
      <c r="Q150" s="121"/>
    </row>
    <row r="151" spans="1:17" ht="13.5">
      <c r="A151" s="120"/>
      <c r="B151" s="120"/>
      <c r="C151" s="120"/>
      <c r="D151" s="120"/>
      <c r="E151" s="120"/>
      <c r="H151" s="100"/>
      <c r="I151" s="121"/>
      <c r="O151" s="121"/>
      <c r="P151" s="121"/>
      <c r="Q151" s="121"/>
    </row>
    <row r="152" spans="1:17" ht="13.5">
      <c r="A152" s="120"/>
      <c r="B152" s="120"/>
      <c r="C152" s="120"/>
      <c r="D152" s="120"/>
      <c r="E152" s="120"/>
      <c r="H152" s="100"/>
      <c r="I152" s="121"/>
      <c r="O152" s="121"/>
      <c r="P152" s="121"/>
      <c r="Q152" s="121"/>
    </row>
    <row r="153" spans="1:17" ht="13.5">
      <c r="A153" s="120"/>
      <c r="B153" s="120"/>
      <c r="C153" s="120"/>
      <c r="D153" s="120"/>
      <c r="E153" s="120"/>
      <c r="H153" s="100"/>
      <c r="I153" s="121"/>
      <c r="O153" s="121"/>
      <c r="P153" s="121"/>
      <c r="Q153" s="121"/>
    </row>
    <row r="154" spans="1:17" ht="13.5">
      <c r="A154" s="120"/>
      <c r="B154" s="120"/>
      <c r="C154" s="120"/>
      <c r="D154" s="120"/>
      <c r="E154" s="120"/>
      <c r="H154" s="100"/>
      <c r="I154" s="121"/>
      <c r="O154" s="121"/>
      <c r="P154" s="121"/>
      <c r="Q154" s="121"/>
    </row>
    <row r="155" spans="1:17" ht="13.5">
      <c r="A155" s="120"/>
      <c r="B155" s="120"/>
      <c r="C155" s="120"/>
      <c r="D155" s="120"/>
      <c r="E155" s="120"/>
      <c r="H155" s="100"/>
      <c r="I155" s="121"/>
      <c r="O155" s="121"/>
      <c r="P155" s="121"/>
      <c r="Q155" s="121"/>
    </row>
    <row r="156" spans="1:17" ht="13.5">
      <c r="A156" s="120"/>
      <c r="B156" s="120"/>
      <c r="C156" s="120"/>
      <c r="D156" s="120"/>
      <c r="E156" s="120"/>
      <c r="H156" s="100"/>
      <c r="I156" s="121"/>
      <c r="O156" s="121"/>
      <c r="P156" s="121"/>
      <c r="Q156" s="121"/>
    </row>
    <row r="157" spans="1:17" ht="13.5">
      <c r="A157" s="120"/>
      <c r="B157" s="120"/>
      <c r="C157" s="120"/>
      <c r="D157" s="120"/>
      <c r="E157" s="120"/>
      <c r="H157" s="100"/>
      <c r="I157" s="121"/>
      <c r="O157" s="121"/>
      <c r="P157" s="121"/>
      <c r="Q157" s="121"/>
    </row>
    <row r="158" spans="1:17" ht="13.5">
      <c r="A158" s="120"/>
      <c r="B158" s="120"/>
      <c r="C158" s="120"/>
      <c r="D158" s="120"/>
      <c r="E158" s="120"/>
      <c r="H158" s="100"/>
      <c r="I158" s="121"/>
      <c r="O158" s="121"/>
      <c r="P158" s="121"/>
      <c r="Q158" s="121"/>
    </row>
    <row r="159" spans="1:17" ht="13.5">
      <c r="A159" s="120"/>
      <c r="B159" s="120"/>
      <c r="C159" s="120"/>
      <c r="D159" s="120"/>
      <c r="E159" s="120"/>
      <c r="H159" s="100"/>
      <c r="I159" s="121"/>
      <c r="O159" s="121"/>
      <c r="P159" s="121"/>
      <c r="Q159" s="121"/>
    </row>
    <row r="160" spans="1:17" ht="13.5">
      <c r="A160" s="120"/>
      <c r="B160" s="120"/>
      <c r="C160" s="120"/>
      <c r="D160" s="120"/>
      <c r="E160" s="120"/>
      <c r="H160" s="100"/>
      <c r="I160" s="121"/>
      <c r="O160" s="121"/>
      <c r="P160" s="121"/>
      <c r="Q160" s="121"/>
    </row>
    <row r="161" spans="1:17" ht="13.5">
      <c r="A161" s="120"/>
      <c r="B161" s="120"/>
      <c r="C161" s="120"/>
      <c r="D161" s="120"/>
      <c r="E161" s="120"/>
      <c r="H161" s="100"/>
      <c r="I161" s="121"/>
      <c r="O161" s="121"/>
      <c r="P161" s="121"/>
      <c r="Q161" s="121"/>
    </row>
    <row r="162" spans="1:17" ht="13.5">
      <c r="A162" s="120"/>
      <c r="B162" s="120"/>
      <c r="C162" s="120"/>
      <c r="D162" s="120"/>
      <c r="E162" s="120"/>
      <c r="H162" s="100"/>
      <c r="I162" s="121"/>
      <c r="O162" s="121"/>
      <c r="P162" s="121"/>
      <c r="Q162" s="121"/>
    </row>
    <row r="163" spans="1:17" ht="13.5">
      <c r="A163" s="120"/>
      <c r="B163" s="120"/>
      <c r="C163" s="120"/>
      <c r="D163" s="120"/>
      <c r="E163" s="120"/>
      <c r="H163" s="100"/>
      <c r="I163" s="121"/>
      <c r="O163" s="121"/>
      <c r="P163" s="121"/>
      <c r="Q163" s="121"/>
    </row>
    <row r="164" spans="1:17" ht="13.5">
      <c r="A164" s="120"/>
      <c r="B164" s="120"/>
      <c r="C164" s="120"/>
      <c r="D164" s="120"/>
      <c r="E164" s="120"/>
      <c r="H164" s="100"/>
      <c r="I164" s="121"/>
      <c r="O164" s="121"/>
      <c r="P164" s="121"/>
      <c r="Q164" s="121"/>
    </row>
    <row r="165" spans="1:17" ht="13.5">
      <c r="A165" s="120"/>
      <c r="B165" s="120"/>
      <c r="C165" s="120"/>
      <c r="D165" s="120"/>
      <c r="E165" s="120"/>
      <c r="H165" s="100"/>
      <c r="I165" s="121"/>
      <c r="O165" s="121"/>
      <c r="P165" s="121"/>
      <c r="Q165" s="121"/>
    </row>
    <row r="166" spans="1:17" ht="13.5">
      <c r="A166" s="120"/>
      <c r="B166" s="120"/>
      <c r="C166" s="120"/>
      <c r="D166" s="120"/>
      <c r="E166" s="120"/>
      <c r="H166" s="100"/>
      <c r="I166" s="121"/>
      <c r="O166" s="121"/>
      <c r="P166" s="121"/>
      <c r="Q166" s="121"/>
    </row>
    <row r="167" spans="1:17" ht="13.5">
      <c r="A167" s="120"/>
      <c r="B167" s="120"/>
      <c r="C167" s="120"/>
      <c r="D167" s="120"/>
      <c r="E167" s="120"/>
      <c r="H167" s="100"/>
      <c r="I167" s="121"/>
      <c r="O167" s="121"/>
      <c r="P167" s="121"/>
      <c r="Q167" s="121"/>
    </row>
    <row r="168" spans="1:17" ht="13.5">
      <c r="A168" s="120"/>
      <c r="B168" s="120"/>
      <c r="C168" s="120"/>
      <c r="D168" s="120"/>
      <c r="E168" s="120"/>
      <c r="H168" s="100"/>
      <c r="I168" s="121"/>
      <c r="O168" s="121"/>
      <c r="P168" s="121"/>
      <c r="Q168" s="121"/>
    </row>
    <row r="169" spans="1:17" ht="13.5">
      <c r="A169" s="120"/>
      <c r="B169" s="120"/>
      <c r="C169" s="120"/>
      <c r="D169" s="120"/>
      <c r="E169" s="120"/>
      <c r="H169" s="100"/>
      <c r="I169" s="121"/>
      <c r="O169" s="121"/>
      <c r="P169" s="121"/>
      <c r="Q169" s="121"/>
    </row>
    <row r="170" spans="1:17" ht="13.5">
      <c r="A170" s="120"/>
      <c r="B170" s="120"/>
      <c r="C170" s="120"/>
      <c r="D170" s="120"/>
      <c r="E170" s="120"/>
      <c r="H170" s="100"/>
      <c r="I170" s="121"/>
      <c r="O170" s="121"/>
      <c r="P170" s="121"/>
      <c r="Q170" s="121"/>
    </row>
    <row r="171" spans="1:17" ht="13.5">
      <c r="A171" s="120"/>
      <c r="B171" s="120"/>
      <c r="C171" s="120"/>
      <c r="D171" s="120"/>
      <c r="E171" s="120"/>
      <c r="H171" s="100"/>
      <c r="I171" s="121"/>
      <c r="O171" s="121"/>
      <c r="P171" s="121"/>
      <c r="Q171" s="121"/>
    </row>
    <row r="172" spans="1:17" ht="13.5">
      <c r="A172" s="120"/>
      <c r="B172" s="120"/>
      <c r="C172" s="120"/>
      <c r="D172" s="120"/>
      <c r="E172" s="120"/>
      <c r="H172" s="100"/>
      <c r="I172" s="121"/>
      <c r="O172" s="121"/>
      <c r="P172" s="121"/>
      <c r="Q172" s="121"/>
    </row>
    <row r="173" spans="1:17" ht="13.5">
      <c r="A173" s="120"/>
      <c r="B173" s="120"/>
      <c r="C173" s="120"/>
      <c r="D173" s="120"/>
      <c r="E173" s="120"/>
      <c r="H173" s="100"/>
      <c r="I173" s="121"/>
      <c r="O173" s="121"/>
      <c r="P173" s="121"/>
      <c r="Q173" s="121"/>
    </row>
    <row r="174" spans="1:17">
      <c r="H174" s="100"/>
      <c r="I174" s="121"/>
      <c r="O174" s="121"/>
      <c r="P174" s="121"/>
      <c r="Q174" s="121"/>
    </row>
    <row r="175" spans="1:17">
      <c r="H175" s="100"/>
      <c r="I175" s="121"/>
      <c r="O175" s="121"/>
      <c r="P175" s="121"/>
      <c r="Q175" s="121"/>
    </row>
    <row r="176" spans="1:17">
      <c r="H176" s="100"/>
      <c r="I176" s="121"/>
      <c r="O176" s="121"/>
      <c r="P176" s="121"/>
      <c r="Q176" s="121"/>
    </row>
    <row r="177" spans="8:17">
      <c r="H177" s="100"/>
      <c r="I177" s="121"/>
      <c r="O177" s="121"/>
      <c r="P177" s="121"/>
      <c r="Q177" s="121"/>
    </row>
    <row r="178" spans="8:17">
      <c r="H178" s="100"/>
      <c r="I178" s="121"/>
      <c r="O178" s="121"/>
      <c r="P178" s="121"/>
      <c r="Q178" s="121"/>
    </row>
    <row r="179" spans="8:17">
      <c r="H179" s="100"/>
      <c r="I179" s="121"/>
      <c r="O179" s="121"/>
      <c r="P179" s="121"/>
      <c r="Q179" s="121"/>
    </row>
    <row r="180" spans="8:17">
      <c r="H180" s="100"/>
      <c r="I180" s="121"/>
      <c r="O180" s="121"/>
      <c r="P180" s="121"/>
      <c r="Q180" s="121"/>
    </row>
    <row r="181" spans="8:17">
      <c r="H181" s="100"/>
      <c r="I181" s="121"/>
      <c r="O181" s="121"/>
      <c r="P181" s="121"/>
      <c r="Q181" s="121"/>
    </row>
    <row r="182" spans="8:17">
      <c r="H182" s="100"/>
      <c r="I182" s="121"/>
      <c r="O182" s="121"/>
      <c r="P182" s="121"/>
      <c r="Q182" s="121"/>
    </row>
    <row r="183" spans="8:17">
      <c r="H183" s="100"/>
      <c r="I183" s="121"/>
      <c r="O183" s="121"/>
      <c r="P183" s="121"/>
      <c r="Q183" s="121"/>
    </row>
    <row r="184" spans="8:17">
      <c r="H184" s="100"/>
      <c r="I184" s="121"/>
      <c r="O184" s="121"/>
      <c r="P184" s="121"/>
      <c r="Q184" s="121"/>
    </row>
    <row r="185" spans="8:17">
      <c r="H185" s="100"/>
      <c r="I185" s="121"/>
      <c r="O185" s="121"/>
      <c r="P185" s="121"/>
      <c r="Q185" s="121"/>
    </row>
    <row r="186" spans="8:17">
      <c r="H186" s="100"/>
      <c r="I186" s="121"/>
      <c r="O186" s="121"/>
      <c r="P186" s="121"/>
      <c r="Q186" s="121"/>
    </row>
    <row r="187" spans="8:17">
      <c r="H187" s="100"/>
      <c r="I187" s="121"/>
      <c r="Q187" s="121"/>
    </row>
    <row r="188" spans="8:17">
      <c r="H188" s="100"/>
      <c r="I188" s="121"/>
      <c r="Q188" s="121"/>
    </row>
    <row r="189" spans="8:17">
      <c r="H189" s="100"/>
      <c r="I189" s="121"/>
      <c r="Q189" s="121"/>
    </row>
    <row r="190" spans="8:17">
      <c r="H190" s="100"/>
      <c r="I190" s="121"/>
      <c r="Q190" s="121"/>
    </row>
    <row r="191" spans="8:17">
      <c r="H191" s="100"/>
      <c r="I191" s="121"/>
      <c r="Q191" s="121"/>
    </row>
    <row r="192" spans="8:17">
      <c r="H192" s="100"/>
      <c r="I192" s="121"/>
      <c r="Q192" s="121"/>
    </row>
    <row r="193" spans="8:17">
      <c r="H193" s="100"/>
      <c r="I193" s="121"/>
      <c r="Q193" s="121"/>
    </row>
    <row r="194" spans="8:17">
      <c r="H194" s="100"/>
      <c r="I194" s="121"/>
      <c r="Q194" s="121"/>
    </row>
    <row r="195" spans="8:17">
      <c r="H195" s="100"/>
      <c r="I195" s="121"/>
      <c r="Q195" s="121"/>
    </row>
    <row r="196" spans="8:17">
      <c r="H196" s="100"/>
      <c r="I196" s="121"/>
      <c r="Q196" s="121"/>
    </row>
    <row r="197" spans="8:17">
      <c r="H197" s="100"/>
      <c r="I197" s="121"/>
      <c r="Q197" s="121"/>
    </row>
    <row r="198" spans="8:17">
      <c r="H198" s="100"/>
      <c r="I198" s="121"/>
      <c r="Q198" s="121"/>
    </row>
    <row r="199" spans="8:17">
      <c r="H199" s="100"/>
      <c r="I199" s="121"/>
      <c r="Q199" s="121"/>
    </row>
    <row r="200" spans="8:17">
      <c r="H200" s="100"/>
      <c r="I200" s="121"/>
      <c r="Q200" s="121"/>
    </row>
    <row r="201" spans="8:17">
      <c r="H201" s="100"/>
      <c r="I201" s="121"/>
      <c r="Q201" s="121"/>
    </row>
    <row r="202" spans="8:17">
      <c r="H202" s="100"/>
      <c r="I202" s="121"/>
      <c r="Q202" s="121"/>
    </row>
    <row r="203" spans="8:17">
      <c r="H203" s="100"/>
      <c r="I203" s="121"/>
      <c r="Q203" s="121"/>
    </row>
    <row r="204" spans="8:17">
      <c r="H204" s="100"/>
      <c r="I204" s="121"/>
      <c r="Q204" s="121"/>
    </row>
    <row r="205" spans="8:17">
      <c r="H205" s="100"/>
      <c r="I205" s="121"/>
      <c r="Q205" s="121"/>
    </row>
    <row r="206" spans="8:17">
      <c r="H206" s="100"/>
      <c r="I206" s="121"/>
      <c r="Q206" s="121"/>
    </row>
    <row r="207" spans="8:17">
      <c r="H207" s="100"/>
      <c r="I207" s="121"/>
      <c r="Q207" s="121"/>
    </row>
    <row r="208" spans="8:17">
      <c r="H208" s="100"/>
      <c r="I208" s="121"/>
      <c r="Q208" s="121"/>
    </row>
    <row r="209" spans="8:17">
      <c r="H209" s="100"/>
      <c r="I209" s="121"/>
      <c r="Q209" s="121"/>
    </row>
    <row r="210" spans="8:17">
      <c r="H210" s="100"/>
      <c r="I210" s="121"/>
      <c r="Q210" s="121"/>
    </row>
    <row r="211" spans="8:17">
      <c r="H211" s="100"/>
      <c r="I211" s="121"/>
      <c r="Q211" s="121"/>
    </row>
    <row r="212" spans="8:17">
      <c r="H212" s="100"/>
      <c r="I212" s="121"/>
      <c r="Q212" s="121"/>
    </row>
    <row r="213" spans="8:17">
      <c r="H213" s="100"/>
      <c r="I213" s="121"/>
      <c r="Q213" s="121"/>
    </row>
    <row r="214" spans="8:17">
      <c r="H214" s="100"/>
      <c r="I214" s="121"/>
      <c r="Q214" s="121"/>
    </row>
    <row r="215" spans="8:17">
      <c r="H215" s="100"/>
      <c r="I215" s="121"/>
      <c r="Q215" s="121"/>
    </row>
    <row r="216" spans="8:17">
      <c r="H216" s="100"/>
      <c r="I216" s="121"/>
      <c r="Q216" s="121"/>
    </row>
    <row r="217" spans="8:17">
      <c r="H217" s="100"/>
      <c r="I217" s="121"/>
      <c r="Q217" s="121"/>
    </row>
    <row r="218" spans="8:17">
      <c r="H218" s="100"/>
      <c r="I218" s="121"/>
      <c r="Q218" s="121"/>
    </row>
    <row r="219" spans="8:17">
      <c r="H219" s="100"/>
      <c r="I219" s="121"/>
      <c r="Q219" s="121"/>
    </row>
    <row r="220" spans="8:17">
      <c r="H220" s="100"/>
      <c r="I220" s="121"/>
      <c r="Q220" s="121"/>
    </row>
    <row r="221" spans="8:17">
      <c r="H221" s="100"/>
      <c r="I221" s="121"/>
      <c r="Q221" s="121"/>
    </row>
    <row r="222" spans="8:17">
      <c r="H222" s="100"/>
      <c r="I222" s="121"/>
      <c r="Q222" s="121"/>
    </row>
    <row r="223" spans="8:17">
      <c r="H223" s="100"/>
      <c r="I223" s="121"/>
      <c r="Q223" s="121"/>
    </row>
    <row r="224" spans="8:17">
      <c r="H224" s="100"/>
      <c r="I224" s="121"/>
      <c r="Q224" s="121"/>
    </row>
    <row r="225" spans="8:17">
      <c r="H225" s="100"/>
      <c r="I225" s="121"/>
      <c r="Q225" s="121"/>
    </row>
    <row r="226" spans="8:17">
      <c r="H226" s="100"/>
      <c r="I226" s="121"/>
      <c r="Q226" s="121"/>
    </row>
    <row r="227" spans="8:17">
      <c r="H227" s="100"/>
      <c r="I227" s="121"/>
      <c r="Q227" s="121"/>
    </row>
    <row r="228" spans="8:17">
      <c r="H228" s="100"/>
      <c r="I228" s="121"/>
      <c r="Q228" s="121"/>
    </row>
    <row r="229" spans="8:17">
      <c r="H229" s="100"/>
      <c r="I229" s="121"/>
      <c r="Q229" s="121"/>
    </row>
    <row r="230" spans="8:17">
      <c r="H230" s="100"/>
      <c r="I230" s="121"/>
      <c r="Q230" s="121"/>
    </row>
    <row r="231" spans="8:17">
      <c r="H231" s="100"/>
      <c r="I231" s="121"/>
      <c r="Q231" s="121"/>
    </row>
    <row r="232" spans="8:17">
      <c r="H232" s="100"/>
      <c r="I232" s="121"/>
      <c r="Q232" s="121"/>
    </row>
    <row r="233" spans="8:17">
      <c r="H233" s="100"/>
      <c r="I233" s="121"/>
      <c r="Q233" s="121"/>
    </row>
    <row r="234" spans="8:17">
      <c r="H234" s="100"/>
      <c r="I234" s="121"/>
      <c r="Q234" s="121"/>
    </row>
    <row r="235" spans="8:17">
      <c r="H235" s="100"/>
      <c r="I235" s="121"/>
      <c r="Q235" s="121"/>
    </row>
    <row r="236" spans="8:17">
      <c r="H236" s="100"/>
      <c r="I236" s="121"/>
      <c r="Q236" s="121"/>
    </row>
    <row r="237" spans="8:17">
      <c r="H237" s="100"/>
      <c r="I237" s="121"/>
      <c r="Q237" s="121"/>
    </row>
    <row r="238" spans="8:17">
      <c r="H238" s="100"/>
      <c r="I238" s="121"/>
      <c r="Q238" s="121"/>
    </row>
    <row r="239" spans="8:17">
      <c r="H239" s="100"/>
      <c r="I239" s="121"/>
      <c r="Q239" s="121"/>
    </row>
    <row r="240" spans="8:17">
      <c r="H240" s="100"/>
      <c r="I240" s="121"/>
      <c r="Q240" s="121"/>
    </row>
    <row r="241" spans="8:17">
      <c r="H241" s="100"/>
      <c r="I241" s="121"/>
      <c r="Q241" s="121"/>
    </row>
    <row r="242" spans="8:17">
      <c r="H242" s="100"/>
      <c r="I242" s="121"/>
      <c r="Q242" s="121"/>
    </row>
    <row r="243" spans="8:17">
      <c r="H243" s="100"/>
      <c r="I243" s="121"/>
      <c r="Q243" s="121"/>
    </row>
    <row r="244" spans="8:17">
      <c r="H244" s="100"/>
      <c r="I244" s="121"/>
      <c r="Q244" s="121"/>
    </row>
    <row r="245" spans="8:17">
      <c r="H245" s="100"/>
      <c r="I245" s="121"/>
      <c r="Q245" s="121"/>
    </row>
    <row r="246" spans="8:17">
      <c r="H246" s="100"/>
      <c r="I246" s="121"/>
      <c r="Q246" s="121"/>
    </row>
    <row r="247" spans="8:17">
      <c r="H247" s="100"/>
      <c r="I247" s="121"/>
      <c r="Q247" s="121"/>
    </row>
    <row r="248" spans="8:17">
      <c r="H248" s="100"/>
      <c r="I248" s="121"/>
      <c r="Q248" s="121"/>
    </row>
    <row r="249" spans="8:17">
      <c r="H249" s="100"/>
      <c r="I249" s="121"/>
      <c r="Q249" s="121"/>
    </row>
    <row r="250" spans="8:17">
      <c r="H250" s="100"/>
      <c r="I250" s="121"/>
      <c r="Q250" s="121"/>
    </row>
    <row r="251" spans="8:17">
      <c r="H251" s="100"/>
      <c r="I251" s="121"/>
      <c r="Q251" s="121"/>
    </row>
    <row r="252" spans="8:17">
      <c r="H252" s="100"/>
      <c r="I252" s="121"/>
      <c r="Q252" s="121"/>
    </row>
    <row r="253" spans="8:17">
      <c r="H253" s="100"/>
      <c r="I253" s="121"/>
      <c r="Q253" s="121"/>
    </row>
    <row r="254" spans="8:17">
      <c r="H254" s="100"/>
      <c r="I254" s="121"/>
      <c r="Q254" s="121"/>
    </row>
    <row r="255" spans="8:17">
      <c r="H255" s="100"/>
      <c r="I255" s="121"/>
      <c r="Q255" s="121"/>
    </row>
    <row r="256" spans="8:17">
      <c r="H256" s="100"/>
      <c r="I256" s="121"/>
      <c r="Q256" s="121"/>
    </row>
    <row r="257" spans="8:17">
      <c r="H257" s="100"/>
      <c r="I257" s="121"/>
      <c r="Q257" s="121"/>
    </row>
    <row r="258" spans="8:17">
      <c r="H258" s="100"/>
      <c r="I258" s="121"/>
      <c r="Q258" s="121"/>
    </row>
    <row r="259" spans="8:17">
      <c r="H259" s="100"/>
      <c r="I259" s="121"/>
      <c r="Q259" s="121"/>
    </row>
    <row r="260" spans="8:17">
      <c r="H260" s="100"/>
      <c r="I260" s="121"/>
      <c r="Q260" s="121"/>
    </row>
    <row r="261" spans="8:17">
      <c r="H261" s="100"/>
      <c r="I261" s="121"/>
      <c r="Q261" s="121"/>
    </row>
    <row r="262" spans="8:17">
      <c r="H262" s="100"/>
      <c r="I262" s="121"/>
      <c r="Q262" s="121"/>
    </row>
    <row r="263" spans="8:17">
      <c r="H263" s="100"/>
      <c r="I263" s="121"/>
      <c r="Q263" s="121"/>
    </row>
    <row r="264" spans="8:17">
      <c r="H264" s="100"/>
      <c r="I264" s="121"/>
      <c r="Q264" s="121"/>
    </row>
    <row r="265" spans="8:17">
      <c r="H265" s="100"/>
      <c r="I265" s="121"/>
      <c r="Q265" s="121"/>
    </row>
    <row r="266" spans="8:17">
      <c r="H266" s="100"/>
      <c r="I266" s="121"/>
      <c r="Q266" s="121"/>
    </row>
    <row r="267" spans="8:17">
      <c r="H267" s="100"/>
      <c r="I267" s="121"/>
      <c r="Q267" s="121"/>
    </row>
    <row r="268" spans="8:17">
      <c r="H268" s="100"/>
      <c r="I268" s="121"/>
      <c r="Q268" s="121"/>
    </row>
    <row r="269" spans="8:17">
      <c r="H269" s="100"/>
      <c r="I269" s="121"/>
      <c r="Q269" s="121"/>
    </row>
    <row r="270" spans="8:17">
      <c r="H270" s="100"/>
      <c r="I270" s="121"/>
      <c r="Q270" s="121"/>
    </row>
    <row r="271" spans="8:17">
      <c r="H271" s="100"/>
      <c r="I271" s="121"/>
      <c r="Q271" s="121"/>
    </row>
    <row r="272" spans="8:17">
      <c r="H272" s="100"/>
      <c r="I272" s="121"/>
      <c r="Q272" s="121"/>
    </row>
    <row r="273" spans="8:17">
      <c r="H273" s="100"/>
      <c r="I273" s="121"/>
      <c r="Q273" s="121"/>
    </row>
    <row r="274" spans="8:17">
      <c r="H274" s="100"/>
      <c r="I274" s="121"/>
      <c r="Q274" s="121"/>
    </row>
    <row r="275" spans="8:17">
      <c r="H275" s="100"/>
      <c r="I275" s="121"/>
      <c r="Q275" s="121"/>
    </row>
    <row r="276" spans="8:17">
      <c r="H276" s="100"/>
      <c r="I276" s="121"/>
      <c r="Q276" s="121"/>
    </row>
    <row r="277" spans="8:17">
      <c r="H277" s="100"/>
      <c r="I277" s="121"/>
      <c r="Q277" s="121"/>
    </row>
    <row r="278" spans="8:17">
      <c r="H278" s="100"/>
      <c r="I278" s="121"/>
      <c r="Q278" s="121"/>
    </row>
    <row r="279" spans="8:17">
      <c r="H279" s="100"/>
      <c r="I279" s="121"/>
      <c r="Q279" s="121"/>
    </row>
    <row r="280" spans="8:17">
      <c r="H280" s="100"/>
      <c r="I280" s="121"/>
      <c r="Q280" s="121"/>
    </row>
    <row r="281" spans="8:17">
      <c r="H281" s="100"/>
      <c r="I281" s="121"/>
      <c r="Q281" s="121"/>
    </row>
    <row r="282" spans="8:17">
      <c r="H282" s="100"/>
      <c r="I282" s="121"/>
      <c r="Q282" s="121"/>
    </row>
    <row r="283" spans="8:17">
      <c r="H283" s="100"/>
      <c r="I283" s="121"/>
      <c r="Q283" s="121"/>
    </row>
    <row r="284" spans="8:17">
      <c r="H284" s="100"/>
      <c r="I284" s="121"/>
      <c r="Q284" s="121"/>
    </row>
    <row r="285" spans="8:17">
      <c r="H285" s="100"/>
      <c r="I285" s="121"/>
      <c r="Q285" s="121"/>
    </row>
    <row r="286" spans="8:17">
      <c r="H286" s="100"/>
      <c r="I286" s="121"/>
      <c r="Q286" s="121"/>
    </row>
    <row r="287" spans="8:17">
      <c r="H287" s="100"/>
      <c r="I287" s="121"/>
      <c r="Q287" s="121"/>
    </row>
    <row r="288" spans="8:17">
      <c r="H288" s="100"/>
      <c r="I288" s="121"/>
      <c r="Q288" s="121"/>
    </row>
    <row r="289" spans="8:17">
      <c r="H289" s="100"/>
      <c r="I289" s="121"/>
      <c r="Q289" s="121"/>
    </row>
    <row r="290" spans="8:17">
      <c r="H290" s="100"/>
      <c r="I290" s="121"/>
      <c r="Q290" s="121"/>
    </row>
    <row r="291" spans="8:17">
      <c r="H291" s="100"/>
      <c r="I291" s="121"/>
      <c r="Q291" s="121"/>
    </row>
    <row r="292" spans="8:17">
      <c r="H292" s="100"/>
      <c r="I292" s="121"/>
      <c r="Q292" s="121"/>
    </row>
    <row r="293" spans="8:17">
      <c r="H293" s="100"/>
      <c r="I293" s="121"/>
      <c r="Q293" s="121"/>
    </row>
    <row r="294" spans="8:17">
      <c r="H294" s="100"/>
      <c r="I294" s="121"/>
      <c r="Q294" s="121"/>
    </row>
    <row r="295" spans="8:17">
      <c r="H295" s="100"/>
      <c r="I295" s="121"/>
      <c r="Q295" s="121"/>
    </row>
    <row r="296" spans="8:17">
      <c r="H296" s="100"/>
      <c r="I296" s="121"/>
      <c r="Q296" s="121"/>
    </row>
    <row r="297" spans="8:17">
      <c r="H297" s="100"/>
      <c r="I297" s="121"/>
      <c r="Q297" s="121"/>
    </row>
    <row r="298" spans="8:17">
      <c r="H298" s="100"/>
      <c r="I298" s="121"/>
      <c r="Q298" s="121"/>
    </row>
    <row r="299" spans="8:17">
      <c r="H299" s="100"/>
      <c r="I299" s="121"/>
      <c r="Q299" s="121"/>
    </row>
    <row r="300" spans="8:17">
      <c r="H300" s="100"/>
      <c r="I300" s="121"/>
      <c r="Q300" s="121"/>
    </row>
    <row r="301" spans="8:17">
      <c r="H301" s="100"/>
      <c r="I301" s="121"/>
      <c r="Q301" s="121"/>
    </row>
    <row r="302" spans="8:17">
      <c r="H302" s="100"/>
      <c r="I302" s="121"/>
      <c r="Q302" s="121"/>
    </row>
    <row r="303" spans="8:17">
      <c r="H303" s="100"/>
      <c r="I303" s="121"/>
      <c r="Q303" s="121"/>
    </row>
    <row r="304" spans="8:17">
      <c r="H304" s="100"/>
      <c r="I304" s="121"/>
      <c r="Q304" s="121"/>
    </row>
    <row r="305" spans="8:17">
      <c r="H305" s="100"/>
      <c r="I305" s="121"/>
      <c r="Q305" s="121"/>
    </row>
    <row r="306" spans="8:17">
      <c r="H306" s="100"/>
      <c r="I306" s="121"/>
      <c r="Q306" s="121"/>
    </row>
    <row r="307" spans="8:17">
      <c r="H307" s="100"/>
      <c r="I307" s="121"/>
      <c r="Q307" s="121"/>
    </row>
    <row r="308" spans="8:17">
      <c r="H308" s="100"/>
      <c r="I308" s="121"/>
      <c r="Q308" s="121"/>
    </row>
    <row r="309" spans="8:17">
      <c r="H309" s="100"/>
      <c r="I309" s="121"/>
      <c r="Q309" s="121"/>
    </row>
    <row r="310" spans="8:17">
      <c r="H310" s="100"/>
      <c r="I310" s="121"/>
      <c r="Q310" s="121"/>
    </row>
    <row r="311" spans="8:17">
      <c r="H311" s="100"/>
      <c r="I311" s="121"/>
      <c r="Q311" s="121"/>
    </row>
    <row r="312" spans="8:17">
      <c r="H312" s="100"/>
      <c r="I312" s="121"/>
      <c r="Q312" s="121"/>
    </row>
    <row r="313" spans="8:17">
      <c r="H313" s="100"/>
      <c r="I313" s="121"/>
      <c r="Q313" s="121"/>
    </row>
    <row r="314" spans="8:17">
      <c r="H314" s="100"/>
      <c r="I314" s="121"/>
      <c r="Q314" s="121"/>
    </row>
    <row r="315" spans="8:17">
      <c r="H315" s="100"/>
      <c r="I315" s="121"/>
      <c r="Q315" s="121"/>
    </row>
    <row r="316" spans="8:17">
      <c r="H316" s="100"/>
      <c r="I316" s="121"/>
      <c r="Q316" s="121"/>
    </row>
    <row r="317" spans="8:17">
      <c r="H317" s="100"/>
      <c r="I317" s="121"/>
      <c r="Q317" s="121"/>
    </row>
    <row r="318" spans="8:17">
      <c r="H318" s="100"/>
      <c r="I318" s="121"/>
      <c r="Q318" s="121"/>
    </row>
    <row r="319" spans="8:17">
      <c r="H319" s="100"/>
      <c r="I319" s="121"/>
      <c r="Q319" s="121"/>
    </row>
    <row r="320" spans="8:17">
      <c r="H320" s="100"/>
      <c r="I320" s="121"/>
      <c r="Q320" s="121"/>
    </row>
    <row r="321" spans="8:17">
      <c r="H321" s="100"/>
      <c r="I321" s="121"/>
      <c r="Q321" s="121"/>
    </row>
    <row r="322" spans="8:17">
      <c r="H322" s="100"/>
      <c r="I322" s="121"/>
      <c r="Q322" s="121"/>
    </row>
    <row r="323" spans="8:17">
      <c r="H323" s="100"/>
      <c r="I323" s="121"/>
      <c r="Q323" s="121"/>
    </row>
    <row r="324" spans="8:17">
      <c r="H324" s="100"/>
      <c r="I324" s="121"/>
      <c r="Q324" s="121"/>
    </row>
    <row r="325" spans="8:17">
      <c r="H325" s="100"/>
      <c r="I325" s="121"/>
      <c r="Q325" s="121"/>
    </row>
    <row r="326" spans="8:17">
      <c r="H326" s="100"/>
      <c r="I326" s="121"/>
      <c r="Q326" s="121"/>
    </row>
    <row r="327" spans="8:17">
      <c r="H327" s="100"/>
      <c r="I327" s="121"/>
      <c r="Q327" s="121"/>
    </row>
    <row r="328" spans="8:17">
      <c r="H328" s="100"/>
      <c r="I328" s="121"/>
      <c r="Q328" s="121"/>
    </row>
    <row r="329" spans="8:17">
      <c r="H329" s="100"/>
      <c r="I329" s="121"/>
      <c r="Q329" s="121"/>
    </row>
    <row r="330" spans="8:17">
      <c r="H330" s="100"/>
      <c r="I330" s="121"/>
      <c r="Q330" s="121"/>
    </row>
    <row r="331" spans="8:17">
      <c r="H331" s="100"/>
      <c r="I331" s="121"/>
      <c r="Q331" s="121"/>
    </row>
    <row r="332" spans="8:17">
      <c r="H332" s="100"/>
      <c r="I332" s="121"/>
      <c r="Q332" s="121"/>
    </row>
    <row r="333" spans="8:17">
      <c r="H333" s="100"/>
      <c r="I333" s="121"/>
      <c r="Q333" s="121"/>
    </row>
    <row r="334" spans="8:17">
      <c r="H334" s="100"/>
      <c r="I334" s="121"/>
      <c r="Q334" s="121"/>
    </row>
    <row r="335" spans="8:17">
      <c r="H335" s="100"/>
      <c r="I335" s="121"/>
      <c r="Q335" s="121"/>
    </row>
    <row r="336" spans="8:17">
      <c r="H336" s="100"/>
      <c r="I336" s="121"/>
      <c r="Q336" s="121"/>
    </row>
    <row r="337" spans="8:17">
      <c r="H337" s="100"/>
      <c r="I337" s="121"/>
      <c r="Q337" s="121"/>
    </row>
    <row r="338" spans="8:17">
      <c r="H338" s="100"/>
      <c r="I338" s="121"/>
      <c r="Q338" s="121"/>
    </row>
    <row r="339" spans="8:17">
      <c r="H339" s="100"/>
      <c r="I339" s="121"/>
      <c r="Q339" s="121"/>
    </row>
    <row r="340" spans="8:17">
      <c r="H340" s="100"/>
      <c r="I340" s="121"/>
      <c r="Q340" s="121"/>
    </row>
    <row r="341" spans="8:17">
      <c r="H341" s="100"/>
      <c r="I341" s="121"/>
      <c r="Q341" s="121"/>
    </row>
    <row r="342" spans="8:17">
      <c r="H342" s="100"/>
      <c r="I342" s="121"/>
      <c r="Q342" s="121"/>
    </row>
    <row r="343" spans="8:17">
      <c r="H343" s="100"/>
      <c r="I343" s="121"/>
      <c r="Q343" s="121"/>
    </row>
    <row r="344" spans="8:17">
      <c r="H344" s="100"/>
      <c r="I344" s="121"/>
      <c r="Q344" s="121"/>
    </row>
    <row r="345" spans="8:17">
      <c r="H345" s="100"/>
      <c r="I345" s="121"/>
      <c r="Q345" s="121"/>
    </row>
    <row r="346" spans="8:17">
      <c r="H346" s="100"/>
      <c r="I346" s="121"/>
      <c r="Q346" s="121"/>
    </row>
    <row r="347" spans="8:17">
      <c r="H347" s="100"/>
      <c r="I347" s="121"/>
      <c r="Q347" s="121"/>
    </row>
    <row r="348" spans="8:17">
      <c r="H348" s="100"/>
      <c r="I348" s="121"/>
      <c r="Q348" s="121"/>
    </row>
    <row r="349" spans="8:17">
      <c r="H349" s="100"/>
      <c r="I349" s="121"/>
      <c r="Q349" s="121"/>
    </row>
    <row r="350" spans="8:17">
      <c r="H350" s="100"/>
      <c r="I350" s="121"/>
      <c r="Q350" s="121"/>
    </row>
    <row r="351" spans="8:17">
      <c r="H351" s="100"/>
      <c r="I351" s="121"/>
      <c r="Q351" s="121"/>
    </row>
    <row r="352" spans="8:17">
      <c r="H352" s="100"/>
      <c r="I352" s="121"/>
      <c r="Q352" s="121"/>
    </row>
    <row r="353" spans="8:17">
      <c r="H353" s="100"/>
      <c r="I353" s="121"/>
      <c r="Q353" s="121"/>
    </row>
    <row r="354" spans="8:17">
      <c r="H354" s="100"/>
      <c r="I354" s="121"/>
      <c r="Q354" s="121"/>
    </row>
    <row r="355" spans="8:17">
      <c r="H355" s="100"/>
      <c r="I355" s="121"/>
      <c r="Q355" s="121"/>
    </row>
    <row r="356" spans="8:17">
      <c r="H356" s="100"/>
      <c r="I356" s="121"/>
      <c r="Q356" s="121"/>
    </row>
    <row r="357" spans="8:17">
      <c r="H357" s="100"/>
      <c r="I357" s="121"/>
      <c r="Q357" s="121"/>
    </row>
    <row r="358" spans="8:17">
      <c r="H358" s="100"/>
      <c r="I358" s="121"/>
      <c r="Q358" s="121"/>
    </row>
    <row r="359" spans="8:17">
      <c r="H359" s="100"/>
      <c r="I359" s="121"/>
      <c r="Q359" s="121"/>
    </row>
    <row r="360" spans="8:17">
      <c r="H360" s="100"/>
      <c r="I360" s="121"/>
      <c r="Q360" s="121"/>
    </row>
    <row r="361" spans="8:17">
      <c r="H361" s="100"/>
      <c r="I361" s="121"/>
      <c r="Q361" s="121"/>
    </row>
    <row r="362" spans="8:17">
      <c r="H362" s="100"/>
      <c r="I362" s="121"/>
      <c r="Q362" s="121"/>
    </row>
    <row r="363" spans="8:17">
      <c r="H363" s="100"/>
      <c r="I363" s="121"/>
      <c r="Q363" s="121"/>
    </row>
    <row r="364" spans="8:17">
      <c r="H364" s="100"/>
      <c r="I364" s="121"/>
      <c r="Q364" s="121"/>
    </row>
    <row r="365" spans="8:17">
      <c r="H365" s="100"/>
      <c r="I365" s="121"/>
      <c r="Q365" s="121"/>
    </row>
    <row r="366" spans="8:17">
      <c r="H366" s="100"/>
      <c r="I366" s="121"/>
      <c r="Q366" s="121"/>
    </row>
    <row r="367" spans="8:17">
      <c r="H367" s="100"/>
      <c r="I367" s="121"/>
      <c r="Q367" s="121"/>
    </row>
    <row r="368" spans="8:17">
      <c r="H368" s="100"/>
      <c r="I368" s="121"/>
      <c r="Q368" s="121"/>
    </row>
    <row r="369" spans="8:17">
      <c r="H369" s="100"/>
      <c r="I369" s="121"/>
      <c r="Q369" s="121"/>
    </row>
    <row r="370" spans="8:17">
      <c r="H370" s="100"/>
      <c r="I370" s="121"/>
      <c r="Q370" s="121"/>
    </row>
    <row r="371" spans="8:17">
      <c r="H371" s="100"/>
      <c r="I371" s="121"/>
      <c r="Q371" s="121"/>
    </row>
    <row r="372" spans="8:17">
      <c r="H372" s="100"/>
      <c r="I372" s="121"/>
      <c r="Q372" s="121"/>
    </row>
    <row r="373" spans="8:17">
      <c r="H373" s="100"/>
      <c r="I373" s="121"/>
      <c r="Q373" s="121"/>
    </row>
    <row r="374" spans="8:17">
      <c r="H374" s="100"/>
      <c r="I374" s="121"/>
      <c r="Q374" s="121"/>
    </row>
    <row r="375" spans="8:17">
      <c r="H375" s="100"/>
      <c r="I375" s="121"/>
      <c r="Q375" s="121"/>
    </row>
    <row r="376" spans="8:17">
      <c r="H376" s="100"/>
      <c r="I376" s="121"/>
      <c r="Q376" s="121"/>
    </row>
    <row r="377" spans="8:17">
      <c r="H377" s="100"/>
      <c r="I377" s="121"/>
      <c r="Q377" s="121"/>
    </row>
    <row r="378" spans="8:17">
      <c r="H378" s="100"/>
      <c r="I378" s="121"/>
      <c r="Q378" s="121"/>
    </row>
    <row r="379" spans="8:17">
      <c r="H379" s="100"/>
      <c r="I379" s="121"/>
      <c r="Q379" s="121"/>
    </row>
    <row r="380" spans="8:17">
      <c r="H380" s="100"/>
      <c r="I380" s="121"/>
      <c r="Q380" s="121"/>
    </row>
    <row r="381" spans="8:17">
      <c r="H381" s="100"/>
      <c r="I381" s="121"/>
      <c r="Q381" s="121"/>
    </row>
  </sheetData>
  <mergeCells count="3">
    <mergeCell ref="R5:AC16"/>
    <mergeCell ref="AD5:AE16"/>
    <mergeCell ref="AX22:AZ31"/>
  </mergeCells>
  <phoneticPr fontId="10" type="noConversion"/>
  <printOptions horizontalCentered="1"/>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B27"/>
  <sheetViews>
    <sheetView workbookViewId="0">
      <selection activeCell="C22" sqref="C22"/>
    </sheetView>
  </sheetViews>
  <sheetFormatPr defaultColWidth="8.875" defaultRowHeight="15.75"/>
  <cols>
    <col min="1" max="1" width="62.125" bestFit="1" customWidth="1"/>
  </cols>
  <sheetData>
    <row r="1" spans="1:2">
      <c r="A1" t="s">
        <v>67</v>
      </c>
    </row>
    <row r="2" spans="1:2">
      <c r="A2" t="s">
        <v>330</v>
      </c>
      <c r="B2" t="s">
        <v>331</v>
      </c>
    </row>
    <row r="3" spans="1:2">
      <c r="A3" t="s">
        <v>332</v>
      </c>
      <c r="B3" t="s">
        <v>333</v>
      </c>
    </row>
    <row r="4" spans="1:2">
      <c r="A4" t="s">
        <v>334</v>
      </c>
      <c r="B4" t="s">
        <v>335</v>
      </c>
    </row>
    <row r="5" spans="1:2">
      <c r="A5" t="s">
        <v>336</v>
      </c>
      <c r="B5" t="s">
        <v>337</v>
      </c>
    </row>
    <row r="6" spans="1:2">
      <c r="A6" t="s">
        <v>338</v>
      </c>
      <c r="B6" t="s">
        <v>339</v>
      </c>
    </row>
    <row r="7" spans="1:2">
      <c r="A7" t="s">
        <v>340</v>
      </c>
      <c r="B7" t="s">
        <v>341</v>
      </c>
    </row>
    <row r="8" spans="1:2">
      <c r="A8" t="s">
        <v>342</v>
      </c>
      <c r="B8" t="s">
        <v>343</v>
      </c>
    </row>
    <row r="9" spans="1:2">
      <c r="A9" t="s">
        <v>344</v>
      </c>
      <c r="B9" t="s">
        <v>345</v>
      </c>
    </row>
    <row r="10" spans="1:2">
      <c r="A10" t="s">
        <v>346</v>
      </c>
      <c r="B10" t="s">
        <v>347</v>
      </c>
    </row>
    <row r="11" spans="1:2">
      <c r="A11" t="s">
        <v>348</v>
      </c>
      <c r="B11" t="s">
        <v>349</v>
      </c>
    </row>
    <row r="12" spans="1:2">
      <c r="A12" t="s">
        <v>350</v>
      </c>
      <c r="B12" t="s">
        <v>351</v>
      </c>
    </row>
    <row r="13" spans="1:2">
      <c r="A13" t="s">
        <v>352</v>
      </c>
      <c r="B13" t="s">
        <v>353</v>
      </c>
    </row>
    <row r="14" spans="1:2">
      <c r="A14" t="s">
        <v>354</v>
      </c>
      <c r="B14" t="s">
        <v>355</v>
      </c>
    </row>
    <row r="15" spans="1:2">
      <c r="A15" t="s">
        <v>356</v>
      </c>
      <c r="B15" t="s">
        <v>357</v>
      </c>
    </row>
    <row r="16" spans="1:2">
      <c r="A16" t="s">
        <v>358</v>
      </c>
      <c r="B16" t="s">
        <v>359</v>
      </c>
    </row>
    <row r="17" spans="1:2">
      <c r="A17" t="s">
        <v>360</v>
      </c>
      <c r="B17" t="s">
        <v>361</v>
      </c>
    </row>
    <row r="18" spans="1:2">
      <c r="A18" t="s">
        <v>362</v>
      </c>
      <c r="B18" t="s">
        <v>363</v>
      </c>
    </row>
    <row r="19" spans="1:2">
      <c r="A19" t="s">
        <v>364</v>
      </c>
      <c r="B19" t="s">
        <v>365</v>
      </c>
    </row>
    <row r="20" spans="1:2">
      <c r="A20" t="s">
        <v>366</v>
      </c>
      <c r="B20" t="s">
        <v>367</v>
      </c>
    </row>
    <row r="21" spans="1:2">
      <c r="A21" t="s">
        <v>368</v>
      </c>
      <c r="B21" t="s">
        <v>369</v>
      </c>
    </row>
    <row r="22" spans="1:2">
      <c r="A22" t="s">
        <v>370</v>
      </c>
      <c r="B22" t="s">
        <v>371</v>
      </c>
    </row>
    <row r="23" spans="1:2">
      <c r="A23" t="s">
        <v>372</v>
      </c>
      <c r="B23" t="s">
        <v>373</v>
      </c>
    </row>
    <row r="24" spans="1:2">
      <c r="A24" t="s">
        <v>374</v>
      </c>
      <c r="B24" t="s">
        <v>375</v>
      </c>
    </row>
    <row r="25" spans="1:2">
      <c r="A25" t="s">
        <v>325</v>
      </c>
      <c r="B25" t="s">
        <v>7</v>
      </c>
    </row>
    <row r="26" spans="1:2">
      <c r="A26" t="s">
        <v>177</v>
      </c>
      <c r="B26" t="s">
        <v>150</v>
      </c>
    </row>
    <row r="27" spans="1:2">
      <c r="A27" t="s">
        <v>376</v>
      </c>
      <c r="B27" t="s">
        <v>377</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W27"/>
  <sheetViews>
    <sheetView workbookViewId="0">
      <selection activeCell="C22" sqref="C22"/>
    </sheetView>
  </sheetViews>
  <sheetFormatPr defaultColWidth="8.875" defaultRowHeight="15.75"/>
  <cols>
    <col min="1" max="1" width="10.125" bestFit="1" customWidth="1"/>
    <col min="2" max="2" width="31.5" bestFit="1" customWidth="1"/>
    <col min="3" max="3" width="14.5" bestFit="1" customWidth="1"/>
    <col min="4" max="4" width="15" bestFit="1" customWidth="1"/>
    <col min="5" max="5" width="14.375" bestFit="1" customWidth="1"/>
    <col min="6" max="6" width="14.875" bestFit="1" customWidth="1"/>
    <col min="7" max="7" width="14.125" bestFit="1" customWidth="1"/>
    <col min="8" max="8" width="14.875" bestFit="1" customWidth="1"/>
    <col min="9" max="9" width="11" bestFit="1" customWidth="1"/>
    <col min="10" max="10" width="13.375" bestFit="1" customWidth="1"/>
    <col min="11" max="11" width="17.875" bestFit="1" customWidth="1"/>
    <col min="12" max="12" width="12.625" bestFit="1" customWidth="1"/>
    <col min="13" max="13" width="15.625" bestFit="1" customWidth="1"/>
    <col min="14" max="14" width="41.125" customWidth="1"/>
    <col min="15" max="15" width="13.125" bestFit="1" customWidth="1"/>
    <col min="16" max="16" width="12.125" bestFit="1" customWidth="1"/>
    <col min="17" max="17" width="17.625" bestFit="1" customWidth="1"/>
    <col min="18" max="18" width="255.875" bestFit="1" customWidth="1"/>
    <col min="19" max="19" width="22.5" bestFit="1" customWidth="1"/>
    <col min="20" max="20" width="11.875" bestFit="1" customWidth="1"/>
    <col min="21" max="21" width="10.375" bestFit="1" customWidth="1"/>
    <col min="22" max="22" width="18.625" bestFit="1" customWidth="1"/>
    <col min="23" max="23" width="13.5" bestFit="1" customWidth="1"/>
  </cols>
  <sheetData>
    <row r="1" spans="1:23">
      <c r="A1" t="s">
        <v>96</v>
      </c>
      <c r="B1" t="s">
        <v>97</v>
      </c>
      <c r="C1" t="s">
        <v>98</v>
      </c>
      <c r="D1" t="s">
        <v>99</v>
      </c>
      <c r="E1" t="s">
        <v>100</v>
      </c>
      <c r="F1" t="s">
        <v>101</v>
      </c>
      <c r="G1" t="s">
        <v>102</v>
      </c>
      <c r="H1" t="s">
        <v>103</v>
      </c>
      <c r="I1" t="s">
        <v>104</v>
      </c>
      <c r="J1" t="s">
        <v>105</v>
      </c>
      <c r="K1" t="s">
        <v>106</v>
      </c>
      <c r="L1" t="s">
        <v>107</v>
      </c>
      <c r="M1" t="s">
        <v>108</v>
      </c>
      <c r="N1" t="s">
        <v>109</v>
      </c>
      <c r="O1" t="s">
        <v>110</v>
      </c>
      <c r="P1" t="s">
        <v>111</v>
      </c>
      <c r="Q1" t="s">
        <v>112</v>
      </c>
      <c r="R1" t="s">
        <v>113</v>
      </c>
      <c r="S1" t="s">
        <v>114</v>
      </c>
      <c r="T1" t="s">
        <v>234</v>
      </c>
      <c r="U1" t="s">
        <v>235</v>
      </c>
      <c r="V1" t="s">
        <v>236</v>
      </c>
      <c r="W1" t="s">
        <v>237</v>
      </c>
    </row>
    <row r="2" spans="1:23">
      <c r="A2" t="s">
        <v>341</v>
      </c>
      <c r="B2" t="s">
        <v>378</v>
      </c>
      <c r="C2">
        <v>40</v>
      </c>
      <c r="D2">
        <v>40</v>
      </c>
      <c r="E2">
        <v>80</v>
      </c>
      <c r="F2">
        <v>60</v>
      </c>
      <c r="I2" t="s">
        <v>244</v>
      </c>
      <c r="J2" t="s">
        <v>379</v>
      </c>
      <c r="K2" t="s">
        <v>245</v>
      </c>
      <c r="L2" t="s">
        <v>380</v>
      </c>
      <c r="N2" t="s">
        <v>381</v>
      </c>
      <c r="O2" t="s">
        <v>291</v>
      </c>
      <c r="P2" t="s">
        <v>326</v>
      </c>
      <c r="Q2" t="s">
        <v>293</v>
      </c>
      <c r="R2" t="s">
        <v>382</v>
      </c>
      <c r="S2">
        <v>73</v>
      </c>
      <c r="T2" t="s">
        <v>294</v>
      </c>
      <c r="U2" t="s">
        <v>242</v>
      </c>
      <c r="V2" t="s">
        <v>299</v>
      </c>
      <c r="W2">
        <v>30</v>
      </c>
    </row>
    <row r="3" spans="1:23">
      <c r="A3" t="s">
        <v>367</v>
      </c>
      <c r="B3" t="s">
        <v>383</v>
      </c>
      <c r="C3">
        <v>45</v>
      </c>
      <c r="D3">
        <v>10</v>
      </c>
      <c r="E3">
        <v>80.5</v>
      </c>
      <c r="F3">
        <v>11.5</v>
      </c>
      <c r="I3" t="s">
        <v>244</v>
      </c>
      <c r="J3" t="s">
        <v>384</v>
      </c>
      <c r="K3" t="s">
        <v>240</v>
      </c>
      <c r="L3" t="s">
        <v>312</v>
      </c>
      <c r="N3" t="s">
        <v>385</v>
      </c>
      <c r="O3" t="s">
        <v>291</v>
      </c>
      <c r="P3" t="s">
        <v>326</v>
      </c>
      <c r="Q3" t="s">
        <v>293</v>
      </c>
      <c r="R3" t="s">
        <v>386</v>
      </c>
      <c r="S3">
        <v>25.3</v>
      </c>
      <c r="T3" t="s">
        <v>294</v>
      </c>
      <c r="U3" t="s">
        <v>242</v>
      </c>
      <c r="V3" t="s">
        <v>299</v>
      </c>
      <c r="W3">
        <v>30</v>
      </c>
    </row>
    <row r="4" spans="1:23">
      <c r="A4" t="s">
        <v>353</v>
      </c>
      <c r="B4" t="s">
        <v>387</v>
      </c>
      <c r="C4">
        <v>65</v>
      </c>
      <c r="D4">
        <v>5</v>
      </c>
      <c r="E4">
        <v>70</v>
      </c>
      <c r="F4">
        <v>30</v>
      </c>
      <c r="I4" t="s">
        <v>244</v>
      </c>
      <c r="J4" t="s">
        <v>384</v>
      </c>
      <c r="K4" t="s">
        <v>245</v>
      </c>
      <c r="L4" t="s">
        <v>380</v>
      </c>
      <c r="N4" t="s">
        <v>388</v>
      </c>
      <c r="O4" t="s">
        <v>291</v>
      </c>
      <c r="P4" t="s">
        <v>326</v>
      </c>
      <c r="Q4" t="s">
        <v>293</v>
      </c>
      <c r="R4" t="s">
        <v>389</v>
      </c>
      <c r="S4">
        <v>19</v>
      </c>
      <c r="T4" t="s">
        <v>294</v>
      </c>
      <c r="U4" t="s">
        <v>242</v>
      </c>
      <c r="V4" t="s">
        <v>299</v>
      </c>
      <c r="W4">
        <v>25</v>
      </c>
    </row>
    <row r="5" spans="1:23">
      <c r="A5" t="s">
        <v>355</v>
      </c>
      <c r="B5" t="s">
        <v>390</v>
      </c>
      <c r="C5">
        <v>70</v>
      </c>
      <c r="D5">
        <v>20</v>
      </c>
      <c r="E5">
        <v>95</v>
      </c>
      <c r="F5">
        <v>35</v>
      </c>
      <c r="I5" t="s">
        <v>244</v>
      </c>
      <c r="J5" t="s">
        <v>384</v>
      </c>
      <c r="K5" t="s">
        <v>245</v>
      </c>
      <c r="L5" t="s">
        <v>380</v>
      </c>
      <c r="N5" t="s">
        <v>391</v>
      </c>
      <c r="O5" t="s">
        <v>291</v>
      </c>
      <c r="P5" t="s">
        <v>326</v>
      </c>
      <c r="Q5" t="s">
        <v>293</v>
      </c>
      <c r="R5" t="s">
        <v>392</v>
      </c>
      <c r="S5">
        <v>129</v>
      </c>
      <c r="T5" t="s">
        <v>294</v>
      </c>
      <c r="U5" t="s">
        <v>242</v>
      </c>
      <c r="V5" t="s">
        <v>295</v>
      </c>
      <c r="W5">
        <v>60</v>
      </c>
    </row>
    <row r="6" spans="1:23">
      <c r="A6" t="s">
        <v>349</v>
      </c>
      <c r="B6" t="s">
        <v>393</v>
      </c>
      <c r="C6">
        <v>50</v>
      </c>
      <c r="D6">
        <v>35</v>
      </c>
      <c r="E6">
        <v>97</v>
      </c>
      <c r="F6">
        <v>35</v>
      </c>
      <c r="I6" t="s">
        <v>244</v>
      </c>
      <c r="J6" t="s">
        <v>384</v>
      </c>
      <c r="K6" t="s">
        <v>245</v>
      </c>
      <c r="L6" t="s">
        <v>380</v>
      </c>
      <c r="N6" t="s">
        <v>394</v>
      </c>
      <c r="O6" t="s">
        <v>291</v>
      </c>
      <c r="P6" t="s">
        <v>326</v>
      </c>
      <c r="Q6" t="s">
        <v>293</v>
      </c>
      <c r="R6" t="s">
        <v>395</v>
      </c>
      <c r="S6">
        <v>165</v>
      </c>
      <c r="T6" t="s">
        <v>294</v>
      </c>
      <c r="U6" t="s">
        <v>242</v>
      </c>
      <c r="V6" t="s">
        <v>295</v>
      </c>
      <c r="W6">
        <v>60</v>
      </c>
    </row>
    <row r="7" spans="1:23">
      <c r="A7" t="s">
        <v>363</v>
      </c>
      <c r="B7" t="s">
        <v>396</v>
      </c>
      <c r="C7">
        <v>50</v>
      </c>
      <c r="D7">
        <v>20</v>
      </c>
      <c r="E7">
        <v>105</v>
      </c>
      <c r="F7">
        <v>35</v>
      </c>
      <c r="I7" t="s">
        <v>244</v>
      </c>
      <c r="J7" t="s">
        <v>384</v>
      </c>
      <c r="K7" t="s">
        <v>245</v>
      </c>
      <c r="L7" t="s">
        <v>380</v>
      </c>
      <c r="N7" t="s">
        <v>397</v>
      </c>
      <c r="O7" t="s">
        <v>291</v>
      </c>
      <c r="P7" t="s">
        <v>326</v>
      </c>
      <c r="Q7" t="s">
        <v>293</v>
      </c>
      <c r="R7" t="s">
        <v>398</v>
      </c>
      <c r="S7">
        <v>433</v>
      </c>
      <c r="T7" t="s">
        <v>294</v>
      </c>
      <c r="U7" t="s">
        <v>242</v>
      </c>
      <c r="V7" t="s">
        <v>299</v>
      </c>
      <c r="W7">
        <v>90</v>
      </c>
    </row>
    <row r="8" spans="1:23">
      <c r="A8" t="s">
        <v>375</v>
      </c>
      <c r="B8" t="s">
        <v>399</v>
      </c>
      <c r="C8">
        <v>50</v>
      </c>
      <c r="D8">
        <v>30</v>
      </c>
      <c r="E8">
        <v>0</v>
      </c>
      <c r="F8">
        <v>0</v>
      </c>
      <c r="I8" t="s">
        <v>244</v>
      </c>
      <c r="J8" t="s">
        <v>384</v>
      </c>
      <c r="K8" t="s">
        <v>245</v>
      </c>
      <c r="L8" t="s">
        <v>312</v>
      </c>
      <c r="N8" t="s">
        <v>400</v>
      </c>
      <c r="O8" t="s">
        <v>291</v>
      </c>
      <c r="P8" t="s">
        <v>380</v>
      </c>
      <c r="Q8" t="s">
        <v>401</v>
      </c>
      <c r="R8" t="s">
        <v>402</v>
      </c>
      <c r="S8">
        <v>78</v>
      </c>
      <c r="T8" t="s">
        <v>294</v>
      </c>
      <c r="U8" t="s">
        <v>242</v>
      </c>
      <c r="V8" t="s">
        <v>295</v>
      </c>
      <c r="W8">
        <v>30</v>
      </c>
    </row>
    <row r="9" spans="1:23">
      <c r="A9" t="s">
        <v>351</v>
      </c>
      <c r="B9" t="s">
        <v>403</v>
      </c>
      <c r="C9">
        <v>79</v>
      </c>
      <c r="D9">
        <v>21</v>
      </c>
      <c r="E9">
        <v>109</v>
      </c>
      <c r="F9">
        <v>36</v>
      </c>
      <c r="I9" t="s">
        <v>244</v>
      </c>
      <c r="J9" t="s">
        <v>384</v>
      </c>
      <c r="K9" t="s">
        <v>245</v>
      </c>
      <c r="L9" t="s">
        <v>380</v>
      </c>
      <c r="N9" t="s">
        <v>404</v>
      </c>
      <c r="O9" t="s">
        <v>291</v>
      </c>
      <c r="P9" t="s">
        <v>326</v>
      </c>
      <c r="Q9" t="s">
        <v>293</v>
      </c>
      <c r="R9" t="s">
        <v>405</v>
      </c>
      <c r="S9">
        <v>90</v>
      </c>
      <c r="T9" t="s">
        <v>294</v>
      </c>
      <c r="U9" t="s">
        <v>242</v>
      </c>
      <c r="V9" t="s">
        <v>299</v>
      </c>
      <c r="W9">
        <v>14</v>
      </c>
    </row>
    <row r="10" spans="1:23">
      <c r="A10" t="s">
        <v>361</v>
      </c>
      <c r="B10" t="s">
        <v>406</v>
      </c>
      <c r="C10">
        <v>33</v>
      </c>
      <c r="D10">
        <v>14</v>
      </c>
      <c r="E10">
        <v>110</v>
      </c>
      <c r="F10">
        <v>40</v>
      </c>
      <c r="I10" t="s">
        <v>244</v>
      </c>
      <c r="J10" t="s">
        <v>384</v>
      </c>
      <c r="K10" t="s">
        <v>245</v>
      </c>
      <c r="L10" t="s">
        <v>380</v>
      </c>
      <c r="N10" t="s">
        <v>407</v>
      </c>
      <c r="O10" t="s">
        <v>291</v>
      </c>
      <c r="P10" t="s">
        <v>326</v>
      </c>
      <c r="Q10" t="s">
        <v>293</v>
      </c>
      <c r="R10" t="s">
        <v>408</v>
      </c>
      <c r="S10">
        <v>373</v>
      </c>
      <c r="T10" t="s">
        <v>294</v>
      </c>
      <c r="U10" t="s">
        <v>242</v>
      </c>
      <c r="V10" t="s">
        <v>299</v>
      </c>
      <c r="W10">
        <v>40</v>
      </c>
    </row>
    <row r="11" spans="1:23">
      <c r="A11" t="s">
        <v>365</v>
      </c>
      <c r="B11" t="s">
        <v>409</v>
      </c>
      <c r="C11">
        <v>40</v>
      </c>
      <c r="D11">
        <v>10</v>
      </c>
      <c r="E11">
        <v>90</v>
      </c>
      <c r="F11">
        <v>30</v>
      </c>
      <c r="I11" t="s">
        <v>244</v>
      </c>
      <c r="J11" t="s">
        <v>384</v>
      </c>
      <c r="K11" t="s">
        <v>245</v>
      </c>
      <c r="L11" t="s">
        <v>380</v>
      </c>
      <c r="N11" t="s">
        <v>410</v>
      </c>
      <c r="O11" t="s">
        <v>291</v>
      </c>
      <c r="P11" t="s">
        <v>326</v>
      </c>
      <c r="Q11" t="s">
        <v>293</v>
      </c>
      <c r="R11" t="s">
        <v>411</v>
      </c>
      <c r="S11">
        <v>257</v>
      </c>
      <c r="T11" t="s">
        <v>294</v>
      </c>
      <c r="U11" t="s">
        <v>242</v>
      </c>
      <c r="V11" t="s">
        <v>295</v>
      </c>
      <c r="W11">
        <v>90</v>
      </c>
    </row>
    <row r="12" spans="1:23">
      <c r="A12" t="s">
        <v>150</v>
      </c>
      <c r="B12" t="s">
        <v>238</v>
      </c>
      <c r="C12">
        <v>1</v>
      </c>
      <c r="D12">
        <v>0</v>
      </c>
      <c r="E12">
        <v>0</v>
      </c>
      <c r="F12">
        <v>0</v>
      </c>
      <c r="I12" t="s">
        <v>52</v>
      </c>
      <c r="J12" t="s">
        <v>239</v>
      </c>
      <c r="K12" t="s">
        <v>240</v>
      </c>
      <c r="L12" t="s">
        <v>52</v>
      </c>
      <c r="O12" t="s">
        <v>52</v>
      </c>
      <c r="P12" t="s">
        <v>52</v>
      </c>
      <c r="Q12" t="s">
        <v>52</v>
      </c>
      <c r="S12">
        <v>0</v>
      </c>
      <c r="T12" t="s">
        <v>241</v>
      </c>
      <c r="U12" t="s">
        <v>242</v>
      </c>
      <c r="V12" t="s">
        <v>243</v>
      </c>
      <c r="W12">
        <v>1</v>
      </c>
    </row>
    <row r="13" spans="1:23">
      <c r="A13" t="s">
        <v>357</v>
      </c>
      <c r="B13" t="s">
        <v>412</v>
      </c>
      <c r="C13">
        <v>0</v>
      </c>
      <c r="D13">
        <v>0</v>
      </c>
      <c r="E13">
        <v>9</v>
      </c>
      <c r="F13">
        <v>9</v>
      </c>
      <c r="I13" t="s">
        <v>244</v>
      </c>
      <c r="J13" t="s">
        <v>413</v>
      </c>
      <c r="K13" t="s">
        <v>414</v>
      </c>
      <c r="L13" t="s">
        <v>380</v>
      </c>
      <c r="N13" t="s">
        <v>415</v>
      </c>
      <c r="O13" t="s">
        <v>291</v>
      </c>
      <c r="P13" t="s">
        <v>326</v>
      </c>
      <c r="Q13" t="s">
        <v>293</v>
      </c>
      <c r="R13" t="s">
        <v>416</v>
      </c>
      <c r="S13">
        <v>130</v>
      </c>
      <c r="T13" t="s">
        <v>294</v>
      </c>
      <c r="U13" t="s">
        <v>242</v>
      </c>
      <c r="V13" t="s">
        <v>299</v>
      </c>
      <c r="W13">
        <v>30</v>
      </c>
    </row>
    <row r="14" spans="1:23">
      <c r="A14" t="s">
        <v>347</v>
      </c>
      <c r="B14" t="s">
        <v>417</v>
      </c>
      <c r="C14">
        <v>32</v>
      </c>
      <c r="D14">
        <v>11</v>
      </c>
      <c r="E14">
        <v>77.900000000000006</v>
      </c>
      <c r="F14">
        <v>20.100000000000001</v>
      </c>
      <c r="I14" t="s">
        <v>244</v>
      </c>
      <c r="J14" t="s">
        <v>320</v>
      </c>
      <c r="K14" t="s">
        <v>245</v>
      </c>
      <c r="L14" t="s">
        <v>380</v>
      </c>
      <c r="N14" t="s">
        <v>418</v>
      </c>
      <c r="O14" t="s">
        <v>291</v>
      </c>
      <c r="P14" t="s">
        <v>326</v>
      </c>
      <c r="Q14" t="s">
        <v>293</v>
      </c>
      <c r="R14" t="s">
        <v>419</v>
      </c>
      <c r="S14">
        <v>700</v>
      </c>
      <c r="T14" t="s">
        <v>294</v>
      </c>
      <c r="U14" t="s">
        <v>242</v>
      </c>
      <c r="V14" t="s">
        <v>295</v>
      </c>
      <c r="W14">
        <v>30</v>
      </c>
    </row>
    <row r="15" spans="1:23">
      <c r="A15" t="s">
        <v>359</v>
      </c>
      <c r="B15" t="s">
        <v>420</v>
      </c>
      <c r="C15">
        <v>75</v>
      </c>
      <c r="D15">
        <v>45</v>
      </c>
      <c r="E15">
        <v>160</v>
      </c>
      <c r="F15">
        <v>50</v>
      </c>
      <c r="I15" t="s">
        <v>244</v>
      </c>
      <c r="J15" t="s">
        <v>320</v>
      </c>
      <c r="K15" t="s">
        <v>421</v>
      </c>
      <c r="L15" t="s">
        <v>380</v>
      </c>
      <c r="N15" t="s">
        <v>422</v>
      </c>
      <c r="O15" t="s">
        <v>291</v>
      </c>
      <c r="P15" t="s">
        <v>326</v>
      </c>
      <c r="Q15" t="s">
        <v>293</v>
      </c>
      <c r="R15" t="s">
        <v>423</v>
      </c>
      <c r="S15">
        <v>110</v>
      </c>
      <c r="T15" t="s">
        <v>294</v>
      </c>
      <c r="U15" t="s">
        <v>242</v>
      </c>
      <c r="V15" t="s">
        <v>299</v>
      </c>
      <c r="W15">
        <v>90</v>
      </c>
    </row>
    <row r="16" spans="1:23">
      <c r="A16" t="s">
        <v>343</v>
      </c>
      <c r="B16" t="s">
        <v>424</v>
      </c>
      <c r="C16">
        <v>41</v>
      </c>
      <c r="D16">
        <v>26</v>
      </c>
      <c r="E16">
        <v>80.239999999999995</v>
      </c>
      <c r="F16">
        <v>27.03</v>
      </c>
      <c r="I16" t="s">
        <v>244</v>
      </c>
      <c r="J16" t="s">
        <v>320</v>
      </c>
      <c r="K16" t="s">
        <v>245</v>
      </c>
      <c r="L16" t="s">
        <v>380</v>
      </c>
      <c r="N16" t="s">
        <v>425</v>
      </c>
      <c r="O16" t="s">
        <v>291</v>
      </c>
      <c r="P16" t="s">
        <v>326</v>
      </c>
      <c r="Q16" t="s">
        <v>293</v>
      </c>
      <c r="R16" t="s">
        <v>426</v>
      </c>
      <c r="S16">
        <v>760</v>
      </c>
      <c r="T16" t="s">
        <v>294</v>
      </c>
      <c r="U16" t="s">
        <v>242</v>
      </c>
      <c r="V16" t="s">
        <v>299</v>
      </c>
      <c r="W16">
        <v>90</v>
      </c>
    </row>
    <row r="17" spans="1:23">
      <c r="A17" t="s">
        <v>373</v>
      </c>
      <c r="B17" t="s">
        <v>427</v>
      </c>
      <c r="C17">
        <v>100</v>
      </c>
      <c r="D17">
        <v>100</v>
      </c>
      <c r="E17">
        <v>100</v>
      </c>
      <c r="F17">
        <v>50</v>
      </c>
      <c r="I17" t="s">
        <v>244</v>
      </c>
      <c r="J17" t="s">
        <v>320</v>
      </c>
      <c r="K17" t="s">
        <v>414</v>
      </c>
      <c r="N17" t="s">
        <v>428</v>
      </c>
      <c r="O17" t="s">
        <v>291</v>
      </c>
      <c r="P17" t="s">
        <v>326</v>
      </c>
      <c r="Q17" t="s">
        <v>293</v>
      </c>
      <c r="R17" t="s">
        <v>429</v>
      </c>
      <c r="S17">
        <v>117</v>
      </c>
      <c r="T17" t="s">
        <v>294</v>
      </c>
      <c r="U17" t="s">
        <v>242</v>
      </c>
      <c r="V17" t="s">
        <v>299</v>
      </c>
      <c r="W17">
        <v>30</v>
      </c>
    </row>
    <row r="18" spans="1:23">
      <c r="A18" t="s">
        <v>7</v>
      </c>
      <c r="B18" t="s">
        <v>319</v>
      </c>
      <c r="C18">
        <v>30</v>
      </c>
      <c r="D18">
        <v>20</v>
      </c>
      <c r="E18">
        <v>0</v>
      </c>
      <c r="F18">
        <v>0</v>
      </c>
      <c r="I18" t="s">
        <v>244</v>
      </c>
      <c r="J18" t="s">
        <v>320</v>
      </c>
      <c r="K18" t="s">
        <v>245</v>
      </c>
      <c r="L18" t="s">
        <v>312</v>
      </c>
      <c r="N18" t="s">
        <v>321</v>
      </c>
      <c r="O18" t="s">
        <v>291</v>
      </c>
      <c r="P18" t="s">
        <v>322</v>
      </c>
      <c r="Q18" t="s">
        <v>293</v>
      </c>
      <c r="R18" t="s">
        <v>323</v>
      </c>
      <c r="S18">
        <v>35</v>
      </c>
      <c r="T18" t="s">
        <v>294</v>
      </c>
      <c r="U18" t="s">
        <v>242</v>
      </c>
      <c r="V18" t="s">
        <v>295</v>
      </c>
      <c r="W18">
        <v>90</v>
      </c>
    </row>
    <row r="19" spans="1:23">
      <c r="A19" t="s">
        <v>369</v>
      </c>
      <c r="B19" t="s">
        <v>430</v>
      </c>
      <c r="C19">
        <v>0</v>
      </c>
      <c r="D19">
        <v>0</v>
      </c>
      <c r="E19">
        <v>0</v>
      </c>
      <c r="F19">
        <v>0</v>
      </c>
      <c r="I19" t="s">
        <v>244</v>
      </c>
      <c r="J19" t="s">
        <v>320</v>
      </c>
      <c r="K19" t="s">
        <v>421</v>
      </c>
      <c r="L19" t="s">
        <v>312</v>
      </c>
      <c r="O19" t="s">
        <v>291</v>
      </c>
      <c r="P19" t="s">
        <v>326</v>
      </c>
      <c r="Q19" t="s">
        <v>293</v>
      </c>
      <c r="R19" t="s">
        <v>431</v>
      </c>
      <c r="S19">
        <v>1500</v>
      </c>
      <c r="T19" t="s">
        <v>294</v>
      </c>
      <c r="U19" t="s">
        <v>242</v>
      </c>
      <c r="V19" t="s">
        <v>432</v>
      </c>
      <c r="W19">
        <v>7</v>
      </c>
    </row>
    <row r="20" spans="1:23">
      <c r="A20" t="s">
        <v>337</v>
      </c>
      <c r="B20" t="s">
        <v>433</v>
      </c>
      <c r="C20">
        <v>43</v>
      </c>
      <c r="D20">
        <v>56</v>
      </c>
      <c r="E20">
        <v>64</v>
      </c>
      <c r="F20">
        <v>56</v>
      </c>
      <c r="I20" t="s">
        <v>244</v>
      </c>
      <c r="J20" t="s">
        <v>320</v>
      </c>
      <c r="K20" t="s">
        <v>245</v>
      </c>
      <c r="L20" t="s">
        <v>311</v>
      </c>
      <c r="N20" t="s">
        <v>434</v>
      </c>
      <c r="O20" t="s">
        <v>291</v>
      </c>
      <c r="P20" t="s">
        <v>292</v>
      </c>
      <c r="Q20" t="s">
        <v>318</v>
      </c>
      <c r="R20" t="s">
        <v>435</v>
      </c>
      <c r="S20">
        <v>230</v>
      </c>
      <c r="T20" t="s">
        <v>294</v>
      </c>
      <c r="U20" t="s">
        <v>242</v>
      </c>
      <c r="V20" t="s">
        <v>295</v>
      </c>
      <c r="W20">
        <v>45</v>
      </c>
    </row>
    <row r="21" spans="1:23">
      <c r="A21" t="s">
        <v>335</v>
      </c>
      <c r="B21" t="s">
        <v>436</v>
      </c>
      <c r="C21">
        <v>20</v>
      </c>
      <c r="D21">
        <v>21</v>
      </c>
      <c r="E21">
        <v>80</v>
      </c>
      <c r="F21">
        <v>20</v>
      </c>
      <c r="I21" t="s">
        <v>244</v>
      </c>
      <c r="J21" t="s">
        <v>320</v>
      </c>
      <c r="K21" t="s">
        <v>421</v>
      </c>
      <c r="L21" t="s">
        <v>324</v>
      </c>
      <c r="N21" t="s">
        <v>437</v>
      </c>
      <c r="O21" t="s">
        <v>291</v>
      </c>
      <c r="P21" t="s">
        <v>292</v>
      </c>
      <c r="Q21" t="s">
        <v>293</v>
      </c>
      <c r="R21" t="s">
        <v>438</v>
      </c>
      <c r="S21">
        <v>571</v>
      </c>
      <c r="T21" t="s">
        <v>294</v>
      </c>
      <c r="U21" t="s">
        <v>314</v>
      </c>
      <c r="V21" t="s">
        <v>299</v>
      </c>
      <c r="W21">
        <v>90</v>
      </c>
    </row>
    <row r="22" spans="1:23">
      <c r="A22" t="s">
        <v>331</v>
      </c>
      <c r="B22" t="s">
        <v>439</v>
      </c>
      <c r="C22">
        <v>0</v>
      </c>
      <c r="D22">
        <v>0</v>
      </c>
      <c r="E22">
        <v>0</v>
      </c>
      <c r="F22">
        <v>0</v>
      </c>
      <c r="I22" t="s">
        <v>440</v>
      </c>
      <c r="J22" t="s">
        <v>233</v>
      </c>
      <c r="K22" t="s">
        <v>245</v>
      </c>
      <c r="L22" t="s">
        <v>312</v>
      </c>
      <c r="N22" t="s">
        <v>441</v>
      </c>
      <c r="O22" t="s">
        <v>291</v>
      </c>
      <c r="P22" t="s">
        <v>326</v>
      </c>
      <c r="Q22" t="s">
        <v>293</v>
      </c>
      <c r="R22" t="s">
        <v>442</v>
      </c>
      <c r="S22">
        <v>2461</v>
      </c>
      <c r="T22" t="s">
        <v>294</v>
      </c>
      <c r="U22" t="s">
        <v>242</v>
      </c>
      <c r="V22" t="s">
        <v>295</v>
      </c>
      <c r="W22">
        <v>45</v>
      </c>
    </row>
    <row r="23" spans="1:23">
      <c r="A23" t="s">
        <v>377</v>
      </c>
      <c r="B23" t="s">
        <v>377</v>
      </c>
    </row>
    <row r="24" spans="1:23">
      <c r="A24" t="s">
        <v>339</v>
      </c>
      <c r="B24" t="s">
        <v>443</v>
      </c>
      <c r="C24">
        <v>60</v>
      </c>
      <c r="D24">
        <v>60</v>
      </c>
      <c r="E24">
        <v>72</v>
      </c>
      <c r="F24">
        <v>49</v>
      </c>
      <c r="I24" t="s">
        <v>244</v>
      </c>
      <c r="J24" t="s">
        <v>233</v>
      </c>
      <c r="K24" t="s">
        <v>245</v>
      </c>
      <c r="L24" t="s">
        <v>380</v>
      </c>
      <c r="N24" t="s">
        <v>444</v>
      </c>
      <c r="O24" t="s">
        <v>291</v>
      </c>
      <c r="P24" t="s">
        <v>326</v>
      </c>
      <c r="Q24" t="s">
        <v>293</v>
      </c>
      <c r="R24" t="s">
        <v>445</v>
      </c>
      <c r="S24">
        <v>734</v>
      </c>
      <c r="T24" t="s">
        <v>294</v>
      </c>
      <c r="U24" t="s">
        <v>242</v>
      </c>
      <c r="V24" t="s">
        <v>295</v>
      </c>
      <c r="W24">
        <v>30</v>
      </c>
    </row>
    <row r="25" spans="1:23">
      <c r="A25" t="s">
        <v>371</v>
      </c>
      <c r="B25" t="s">
        <v>446</v>
      </c>
      <c r="C25">
        <v>40</v>
      </c>
      <c r="D25">
        <v>20</v>
      </c>
      <c r="E25">
        <v>52.9</v>
      </c>
      <c r="F25">
        <v>15.6</v>
      </c>
      <c r="I25" t="s">
        <v>244</v>
      </c>
      <c r="J25" t="s">
        <v>233</v>
      </c>
      <c r="K25" t="s">
        <v>245</v>
      </c>
      <c r="L25" t="s">
        <v>311</v>
      </c>
      <c r="N25" t="s">
        <v>315</v>
      </c>
      <c r="O25" t="s">
        <v>291</v>
      </c>
      <c r="P25" t="s">
        <v>292</v>
      </c>
      <c r="Q25" t="s">
        <v>316</v>
      </c>
      <c r="R25" t="s">
        <v>447</v>
      </c>
      <c r="S25">
        <v>140</v>
      </c>
      <c r="T25" t="s">
        <v>294</v>
      </c>
      <c r="U25" t="s">
        <v>242</v>
      </c>
      <c r="V25" t="s">
        <v>295</v>
      </c>
      <c r="W25">
        <v>60</v>
      </c>
    </row>
    <row r="26" spans="1:23">
      <c r="A26" t="s">
        <v>345</v>
      </c>
      <c r="B26" t="s">
        <v>448</v>
      </c>
      <c r="C26">
        <v>30</v>
      </c>
      <c r="D26">
        <v>20</v>
      </c>
      <c r="E26">
        <v>90</v>
      </c>
      <c r="F26">
        <v>30</v>
      </c>
      <c r="I26" t="s">
        <v>244</v>
      </c>
      <c r="J26" t="s">
        <v>449</v>
      </c>
      <c r="K26" t="s">
        <v>245</v>
      </c>
      <c r="L26" t="s">
        <v>380</v>
      </c>
      <c r="N26" t="s">
        <v>450</v>
      </c>
      <c r="O26" t="s">
        <v>291</v>
      </c>
      <c r="P26" t="s">
        <v>292</v>
      </c>
      <c r="Q26" t="s">
        <v>293</v>
      </c>
      <c r="R26" t="s">
        <v>451</v>
      </c>
      <c r="S26">
        <v>190</v>
      </c>
      <c r="T26" t="s">
        <v>294</v>
      </c>
      <c r="U26" t="s">
        <v>242</v>
      </c>
      <c r="V26" t="s">
        <v>295</v>
      </c>
      <c r="W26">
        <v>30</v>
      </c>
    </row>
    <row r="27" spans="1:23">
      <c r="A27" t="s">
        <v>333</v>
      </c>
      <c r="B27" t="s">
        <v>452</v>
      </c>
      <c r="C27">
        <v>0</v>
      </c>
      <c r="D27">
        <v>0</v>
      </c>
      <c r="E27">
        <v>70</v>
      </c>
      <c r="F27">
        <v>40</v>
      </c>
      <c r="I27" t="s">
        <v>244</v>
      </c>
      <c r="J27" t="s">
        <v>233</v>
      </c>
      <c r="K27" t="s">
        <v>245</v>
      </c>
      <c r="L27" t="s">
        <v>246</v>
      </c>
      <c r="N27" t="s">
        <v>453</v>
      </c>
      <c r="O27" t="s">
        <v>291</v>
      </c>
      <c r="P27" t="s">
        <v>292</v>
      </c>
      <c r="Q27" t="s">
        <v>293</v>
      </c>
      <c r="R27" t="s">
        <v>454</v>
      </c>
      <c r="S27">
        <v>750</v>
      </c>
      <c r="T27" t="s">
        <v>294</v>
      </c>
      <c r="U27" t="s">
        <v>313</v>
      </c>
      <c r="V27" t="s">
        <v>455</v>
      </c>
      <c r="W27">
        <v>45</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H27"/>
  <sheetViews>
    <sheetView workbookViewId="0">
      <selection activeCell="C22" sqref="C22"/>
    </sheetView>
  </sheetViews>
  <sheetFormatPr defaultColWidth="8.875" defaultRowHeight="15.75"/>
  <sheetData>
    <row r="1" spans="1:8">
      <c r="B1" t="s">
        <v>52</v>
      </c>
      <c r="C1" t="s">
        <v>300</v>
      </c>
      <c r="D1" t="s">
        <v>301</v>
      </c>
      <c r="E1" t="s">
        <v>302</v>
      </c>
      <c r="F1" t="s">
        <v>303</v>
      </c>
      <c r="G1" s="12">
        <v>40634</v>
      </c>
      <c r="H1" t="s">
        <v>304</v>
      </c>
    </row>
    <row r="2" spans="1:8">
      <c r="A2" t="s">
        <v>341</v>
      </c>
      <c r="B2" s="13">
        <v>0</v>
      </c>
      <c r="C2" s="13">
        <v>1</v>
      </c>
      <c r="D2" s="13">
        <v>0</v>
      </c>
      <c r="E2" s="13">
        <v>0</v>
      </c>
      <c r="F2" s="13">
        <v>0</v>
      </c>
      <c r="G2" s="12">
        <v>40634</v>
      </c>
      <c r="H2" s="13">
        <v>2.2779000000000001E-2</v>
      </c>
    </row>
    <row r="3" spans="1:8">
      <c r="A3" t="s">
        <v>367</v>
      </c>
      <c r="B3" s="13">
        <v>0</v>
      </c>
      <c r="C3" s="13">
        <v>1</v>
      </c>
      <c r="D3" s="13">
        <v>0</v>
      </c>
      <c r="E3" s="13">
        <v>0</v>
      </c>
      <c r="F3" s="13">
        <v>0</v>
      </c>
      <c r="G3" s="12">
        <v>40634</v>
      </c>
      <c r="H3" s="13">
        <v>2.3372E-2</v>
      </c>
    </row>
    <row r="4" spans="1:8">
      <c r="A4" t="s">
        <v>353</v>
      </c>
      <c r="B4" s="13">
        <v>0</v>
      </c>
      <c r="C4" s="13">
        <v>1</v>
      </c>
      <c r="D4" s="13">
        <v>0</v>
      </c>
      <c r="E4" s="13">
        <v>0</v>
      </c>
      <c r="F4" s="13">
        <v>0</v>
      </c>
      <c r="G4" s="12">
        <v>40634</v>
      </c>
      <c r="H4" s="13">
        <v>1.7926000000000001E-2</v>
      </c>
    </row>
    <row r="5" spans="1:8">
      <c r="A5" t="s">
        <v>355</v>
      </c>
      <c r="B5" s="13">
        <v>0</v>
      </c>
      <c r="C5" s="13">
        <v>1</v>
      </c>
      <c r="D5" s="13">
        <v>0</v>
      </c>
      <c r="E5" s="13">
        <v>0</v>
      </c>
      <c r="F5" s="13">
        <v>0</v>
      </c>
      <c r="G5" s="12">
        <v>40634</v>
      </c>
      <c r="H5" s="13">
        <v>2.7918999999999999E-2</v>
      </c>
    </row>
    <row r="6" spans="1:8">
      <c r="A6" t="s">
        <v>349</v>
      </c>
      <c r="B6" s="13">
        <v>0</v>
      </c>
      <c r="C6" s="13">
        <v>1</v>
      </c>
      <c r="D6" s="13">
        <v>0</v>
      </c>
      <c r="E6" s="13">
        <v>0</v>
      </c>
      <c r="F6" s="13">
        <v>0</v>
      </c>
      <c r="G6" s="12">
        <v>40634</v>
      </c>
      <c r="H6" s="13">
        <v>1.7797E-2</v>
      </c>
    </row>
    <row r="7" spans="1:8">
      <c r="A7" t="s">
        <v>363</v>
      </c>
      <c r="B7" s="13">
        <v>0</v>
      </c>
      <c r="C7" s="13">
        <v>1</v>
      </c>
      <c r="D7" s="13">
        <v>0</v>
      </c>
      <c r="E7" s="13">
        <v>0</v>
      </c>
      <c r="F7" s="13">
        <v>0</v>
      </c>
      <c r="G7" s="12">
        <v>40634</v>
      </c>
      <c r="H7" s="13">
        <v>2.6519999999999998E-2</v>
      </c>
    </row>
    <row r="8" spans="1:8">
      <c r="A8" t="s">
        <v>375</v>
      </c>
      <c r="B8" s="13">
        <v>0</v>
      </c>
      <c r="C8" s="13">
        <v>1</v>
      </c>
      <c r="D8" s="13">
        <v>0</v>
      </c>
      <c r="E8" s="13">
        <v>0</v>
      </c>
      <c r="F8" s="13">
        <v>0</v>
      </c>
      <c r="G8" s="12">
        <v>40634</v>
      </c>
      <c r="H8" s="13">
        <v>2.3716999999999998E-2</v>
      </c>
    </row>
    <row r="9" spans="1:8">
      <c r="A9" t="s">
        <v>351</v>
      </c>
      <c r="B9" s="13">
        <v>0</v>
      </c>
      <c r="C9" s="13">
        <v>1</v>
      </c>
      <c r="D9" s="13">
        <v>0</v>
      </c>
      <c r="E9" s="13">
        <v>0</v>
      </c>
      <c r="F9" s="13">
        <v>0</v>
      </c>
      <c r="G9" s="12">
        <v>40634</v>
      </c>
      <c r="H9" s="13">
        <v>2.9003999999999999E-2</v>
      </c>
    </row>
    <row r="10" spans="1:8">
      <c r="A10" t="s">
        <v>361</v>
      </c>
      <c r="B10" s="13">
        <v>0</v>
      </c>
      <c r="C10" s="13">
        <v>1</v>
      </c>
      <c r="D10" s="13">
        <v>0</v>
      </c>
      <c r="E10" s="13">
        <v>0</v>
      </c>
      <c r="F10" s="13">
        <v>0</v>
      </c>
      <c r="G10" s="12">
        <v>40634</v>
      </c>
      <c r="H10" s="13">
        <v>5.6314999999999997E-2</v>
      </c>
    </row>
    <row r="11" spans="1:8">
      <c r="A11" t="s">
        <v>365</v>
      </c>
      <c r="B11" s="13">
        <v>0</v>
      </c>
      <c r="C11" s="13">
        <v>1</v>
      </c>
      <c r="D11" s="13">
        <v>0</v>
      </c>
      <c r="E11" s="13">
        <v>0</v>
      </c>
      <c r="F11" s="13">
        <v>0</v>
      </c>
      <c r="G11" s="12">
        <v>40634</v>
      </c>
      <c r="H11" s="13">
        <v>3.1120999999999999E-2</v>
      </c>
    </row>
    <row r="12" spans="1:8">
      <c r="A12" t="s">
        <v>150</v>
      </c>
      <c r="B12" s="13">
        <v>1</v>
      </c>
      <c r="C12" s="13">
        <v>0</v>
      </c>
      <c r="D12" s="13">
        <v>0</v>
      </c>
      <c r="E12" s="13">
        <v>0</v>
      </c>
      <c r="F12" s="13">
        <v>0</v>
      </c>
      <c r="G12" s="12">
        <v>40634</v>
      </c>
      <c r="H12" s="13">
        <v>4.1106999999999998E-2</v>
      </c>
    </row>
    <row r="13" spans="1:8">
      <c r="A13" t="s">
        <v>357</v>
      </c>
      <c r="B13" s="13">
        <v>0</v>
      </c>
      <c r="C13" s="13">
        <v>1</v>
      </c>
      <c r="D13" s="13">
        <v>0</v>
      </c>
      <c r="E13" s="13">
        <v>0</v>
      </c>
      <c r="F13" s="13">
        <v>0</v>
      </c>
      <c r="G13" s="12">
        <v>40634</v>
      </c>
      <c r="H13" s="13">
        <v>1.2255E-2</v>
      </c>
    </row>
    <row r="14" spans="1:8">
      <c r="A14" t="s">
        <v>347</v>
      </c>
      <c r="B14" s="13">
        <v>0</v>
      </c>
      <c r="C14" s="13">
        <v>1</v>
      </c>
      <c r="D14" s="13">
        <v>0</v>
      </c>
      <c r="E14" s="13">
        <v>0</v>
      </c>
      <c r="F14" s="13">
        <v>0</v>
      </c>
      <c r="G14" s="12">
        <v>40634</v>
      </c>
      <c r="H14" s="13">
        <v>2.3153E-2</v>
      </c>
    </row>
    <row r="15" spans="1:8">
      <c r="A15" t="s">
        <v>359</v>
      </c>
      <c r="B15" s="13">
        <v>0</v>
      </c>
      <c r="C15" s="13">
        <v>1</v>
      </c>
      <c r="D15" s="13">
        <v>0</v>
      </c>
      <c r="E15" s="13">
        <v>0</v>
      </c>
      <c r="F15" s="13">
        <v>0</v>
      </c>
      <c r="G15" s="12">
        <v>40634</v>
      </c>
      <c r="H15" s="13">
        <v>4.3926E-2</v>
      </c>
    </row>
    <row r="16" spans="1:8">
      <c r="A16" t="s">
        <v>343</v>
      </c>
      <c r="B16" s="13">
        <v>0</v>
      </c>
      <c r="C16" s="13">
        <v>0</v>
      </c>
      <c r="D16" s="13">
        <v>0</v>
      </c>
      <c r="E16" s="13">
        <v>0</v>
      </c>
      <c r="F16" s="13">
        <v>0</v>
      </c>
      <c r="G16" s="12">
        <v>40634</v>
      </c>
      <c r="H16" s="13">
        <v>0.16978299999999999</v>
      </c>
    </row>
    <row r="17" spans="1:8">
      <c r="A17" t="s">
        <v>373</v>
      </c>
      <c r="B17" s="13">
        <v>0</v>
      </c>
      <c r="C17" s="13">
        <v>1</v>
      </c>
      <c r="D17" s="13">
        <v>0</v>
      </c>
      <c r="E17" s="13">
        <v>0</v>
      </c>
      <c r="F17" s="13">
        <v>0</v>
      </c>
      <c r="G17" s="12">
        <v>40634</v>
      </c>
      <c r="H17" s="13">
        <v>1.5990000000000001E-2</v>
      </c>
    </row>
    <row r="18" spans="1:8">
      <c r="A18" t="s">
        <v>7</v>
      </c>
      <c r="B18" s="13">
        <v>0</v>
      </c>
      <c r="C18" s="13">
        <v>0</v>
      </c>
      <c r="D18" s="13">
        <v>0</v>
      </c>
      <c r="E18" s="13">
        <v>0</v>
      </c>
      <c r="F18" s="13">
        <v>0</v>
      </c>
      <c r="G18" s="12">
        <v>40634</v>
      </c>
      <c r="H18" s="13">
        <v>6.3827999999999996E-2</v>
      </c>
    </row>
    <row r="19" spans="1:8">
      <c r="A19" t="s">
        <v>369</v>
      </c>
      <c r="B19" s="13">
        <v>0</v>
      </c>
      <c r="C19" s="13">
        <v>0</v>
      </c>
      <c r="D19" s="13">
        <v>0</v>
      </c>
      <c r="E19" s="13">
        <v>0</v>
      </c>
      <c r="F19" s="13">
        <v>0</v>
      </c>
      <c r="G19" s="12">
        <v>40634</v>
      </c>
      <c r="H19" s="13">
        <v>2.6401000000000001E-2</v>
      </c>
    </row>
    <row r="20" spans="1:8">
      <c r="A20" t="s">
        <v>337</v>
      </c>
      <c r="B20" s="13">
        <v>0</v>
      </c>
      <c r="C20" s="13">
        <v>1</v>
      </c>
      <c r="D20" s="13">
        <v>0</v>
      </c>
      <c r="E20" s="13">
        <v>0</v>
      </c>
      <c r="F20" s="13">
        <v>0</v>
      </c>
      <c r="G20" s="12">
        <v>40634</v>
      </c>
      <c r="H20" s="13">
        <v>4.4830000000000002E-2</v>
      </c>
    </row>
    <row r="21" spans="1:8">
      <c r="A21" t="s">
        <v>335</v>
      </c>
      <c r="B21" s="13">
        <v>0</v>
      </c>
      <c r="C21" s="13">
        <v>1</v>
      </c>
      <c r="D21" s="13">
        <v>0</v>
      </c>
      <c r="E21" s="13">
        <v>0</v>
      </c>
      <c r="F21" s="13">
        <v>0</v>
      </c>
      <c r="G21" s="12">
        <v>40634</v>
      </c>
      <c r="H21" s="13">
        <v>4.4998000000000003E-2</v>
      </c>
    </row>
    <row r="22" spans="1:8">
      <c r="A22" t="s">
        <v>331</v>
      </c>
      <c r="B22" s="13">
        <v>0</v>
      </c>
      <c r="C22" s="13">
        <v>1</v>
      </c>
      <c r="D22" s="13">
        <v>0</v>
      </c>
      <c r="E22" s="13">
        <v>0</v>
      </c>
      <c r="F22" s="13">
        <v>0</v>
      </c>
      <c r="G22" s="12">
        <v>40634</v>
      </c>
      <c r="H22" s="13">
        <v>8.2159999999999997E-2</v>
      </c>
    </row>
    <row r="23" spans="1:8">
      <c r="A23" t="s">
        <v>339</v>
      </c>
      <c r="B23" s="13">
        <v>0</v>
      </c>
      <c r="C23" s="13">
        <v>1</v>
      </c>
      <c r="D23" s="13">
        <v>0</v>
      </c>
      <c r="E23" s="13">
        <v>0</v>
      </c>
      <c r="F23" s="13">
        <v>0</v>
      </c>
      <c r="G23" s="12">
        <v>40634</v>
      </c>
      <c r="H23" s="13">
        <v>4.1850999999999999E-2</v>
      </c>
    </row>
    <row r="24" spans="1:8">
      <c r="A24" t="s">
        <v>371</v>
      </c>
      <c r="B24" s="13">
        <v>0</v>
      </c>
      <c r="C24" s="13">
        <v>1</v>
      </c>
      <c r="D24" s="13">
        <v>0</v>
      </c>
      <c r="E24" s="13">
        <v>0</v>
      </c>
      <c r="F24" s="13">
        <v>0</v>
      </c>
      <c r="G24" s="12">
        <v>40634</v>
      </c>
      <c r="H24" s="13">
        <v>3.7363E-2</v>
      </c>
    </row>
    <row r="25" spans="1:8">
      <c r="A25" t="s">
        <v>345</v>
      </c>
      <c r="B25" s="13">
        <v>0</v>
      </c>
      <c r="C25" s="13">
        <v>1</v>
      </c>
      <c r="D25" s="13">
        <v>0</v>
      </c>
      <c r="E25" s="13">
        <v>0</v>
      </c>
      <c r="F25" s="13">
        <v>0</v>
      </c>
      <c r="G25" s="12">
        <v>40634</v>
      </c>
      <c r="H25" s="13">
        <v>7.5872999999999996E-2</v>
      </c>
    </row>
    <row r="26" spans="1:8">
      <c r="A26" t="s">
        <v>333</v>
      </c>
      <c r="B26" s="13">
        <v>0</v>
      </c>
      <c r="C26" s="13">
        <v>1</v>
      </c>
      <c r="D26" s="13">
        <v>0</v>
      </c>
      <c r="E26" s="13">
        <v>0</v>
      </c>
      <c r="F26" s="13">
        <v>0</v>
      </c>
      <c r="G26" s="12">
        <v>40634</v>
      </c>
    </row>
    <row r="27" spans="1:8">
      <c r="A27" t="s">
        <v>377</v>
      </c>
      <c r="B27" s="13">
        <v>4.1111000000000002E-2</v>
      </c>
      <c r="C27" s="13">
        <v>0.69893799999999995</v>
      </c>
      <c r="D27" s="14">
        <v>0</v>
      </c>
      <c r="E27" s="14">
        <v>0</v>
      </c>
      <c r="G27" s="12">
        <v>40634</v>
      </c>
      <c r="H27" s="13">
        <v>9.9989999999999992E-3</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M27"/>
  <sheetViews>
    <sheetView workbookViewId="0"/>
  </sheetViews>
  <sheetFormatPr defaultColWidth="8.875" defaultRowHeight="15.75"/>
  <sheetData>
    <row r="1" spans="1:13">
      <c r="B1" t="s">
        <v>77</v>
      </c>
      <c r="C1" t="s">
        <v>78</v>
      </c>
      <c r="D1" t="s">
        <v>79</v>
      </c>
      <c r="E1" t="s">
        <v>80</v>
      </c>
      <c r="F1" t="s">
        <v>81</v>
      </c>
      <c r="G1" t="s">
        <v>82</v>
      </c>
      <c r="H1" t="s">
        <v>83</v>
      </c>
      <c r="I1" t="s">
        <v>84</v>
      </c>
      <c r="J1" t="s">
        <v>85</v>
      </c>
      <c r="K1" t="s">
        <v>86</v>
      </c>
      <c r="L1" s="12">
        <v>40634</v>
      </c>
      <c r="M1" t="s">
        <v>304</v>
      </c>
    </row>
    <row r="2" spans="1:13">
      <c r="A2" t="s">
        <v>341</v>
      </c>
      <c r="B2" s="13">
        <v>1</v>
      </c>
      <c r="C2" s="13">
        <v>0</v>
      </c>
      <c r="D2" s="13">
        <v>0</v>
      </c>
      <c r="E2" s="13">
        <v>0</v>
      </c>
      <c r="F2" s="13">
        <v>0</v>
      </c>
      <c r="G2" s="13">
        <v>0</v>
      </c>
      <c r="H2" s="13">
        <v>0</v>
      </c>
      <c r="I2" s="13">
        <v>0</v>
      </c>
      <c r="J2" s="13">
        <v>0</v>
      </c>
      <c r="K2" s="13">
        <v>0</v>
      </c>
      <c r="L2" s="12">
        <v>40634</v>
      </c>
      <c r="M2" s="13">
        <v>2.2779000000000001E-2</v>
      </c>
    </row>
    <row r="3" spans="1:13">
      <c r="A3" t="s">
        <v>367</v>
      </c>
      <c r="B3" s="13">
        <v>1</v>
      </c>
      <c r="C3" s="13">
        <v>0</v>
      </c>
      <c r="D3" s="13">
        <v>0</v>
      </c>
      <c r="E3" s="13">
        <v>0</v>
      </c>
      <c r="F3" s="13">
        <v>0</v>
      </c>
      <c r="G3" s="13">
        <v>0</v>
      </c>
      <c r="H3" s="13">
        <v>0</v>
      </c>
      <c r="I3" s="13">
        <v>0</v>
      </c>
      <c r="J3" s="13">
        <v>0</v>
      </c>
      <c r="K3" s="13">
        <v>0</v>
      </c>
      <c r="L3" s="12">
        <v>40634</v>
      </c>
      <c r="M3" s="13">
        <v>2.3372E-2</v>
      </c>
    </row>
    <row r="4" spans="1:13">
      <c r="A4" t="s">
        <v>353</v>
      </c>
      <c r="B4" s="13">
        <v>1</v>
      </c>
      <c r="C4" s="13">
        <v>0</v>
      </c>
      <c r="D4" s="13">
        <v>0</v>
      </c>
      <c r="E4" s="13">
        <v>0</v>
      </c>
      <c r="F4" s="13">
        <v>0</v>
      </c>
      <c r="G4" s="13">
        <v>0</v>
      </c>
      <c r="H4" s="13">
        <v>0</v>
      </c>
      <c r="I4" s="13">
        <v>0</v>
      </c>
      <c r="J4" s="13">
        <v>0</v>
      </c>
      <c r="K4" s="13">
        <v>0</v>
      </c>
      <c r="L4" s="12">
        <v>40634</v>
      </c>
      <c r="M4" s="13">
        <v>1.7926000000000001E-2</v>
      </c>
    </row>
    <row r="5" spans="1:13">
      <c r="A5" t="s">
        <v>355</v>
      </c>
      <c r="B5" s="13">
        <v>1</v>
      </c>
      <c r="C5" s="13">
        <v>0</v>
      </c>
      <c r="D5" s="13">
        <v>0</v>
      </c>
      <c r="E5" s="13">
        <v>0</v>
      </c>
      <c r="F5" s="13">
        <v>0</v>
      </c>
      <c r="G5" s="13">
        <v>0</v>
      </c>
      <c r="H5" s="13">
        <v>0</v>
      </c>
      <c r="I5" s="13">
        <v>0</v>
      </c>
      <c r="J5" s="13">
        <v>0</v>
      </c>
      <c r="K5" s="13">
        <v>0</v>
      </c>
      <c r="L5" s="12">
        <v>40634</v>
      </c>
      <c r="M5" s="13">
        <v>2.7918999999999999E-2</v>
      </c>
    </row>
    <row r="6" spans="1:13">
      <c r="A6" t="s">
        <v>349</v>
      </c>
      <c r="B6" s="13">
        <v>1</v>
      </c>
      <c r="C6" s="13">
        <v>0</v>
      </c>
      <c r="D6" s="13">
        <v>0</v>
      </c>
      <c r="E6" s="13">
        <v>0</v>
      </c>
      <c r="F6" s="13">
        <v>0</v>
      </c>
      <c r="G6" s="13">
        <v>0</v>
      </c>
      <c r="H6" s="13">
        <v>0</v>
      </c>
      <c r="I6" s="13">
        <v>0</v>
      </c>
      <c r="J6" s="13">
        <v>0</v>
      </c>
      <c r="K6" s="13">
        <v>0</v>
      </c>
      <c r="L6" s="12">
        <v>40634</v>
      </c>
      <c r="M6" s="13">
        <v>1.7797E-2</v>
      </c>
    </row>
    <row r="7" spans="1:13">
      <c r="A7" t="s">
        <v>363</v>
      </c>
      <c r="B7" s="13">
        <v>1</v>
      </c>
      <c r="C7" s="13">
        <v>0</v>
      </c>
      <c r="D7" s="13">
        <v>0</v>
      </c>
      <c r="E7" s="13">
        <v>0</v>
      </c>
      <c r="F7" s="13">
        <v>0</v>
      </c>
      <c r="G7" s="13">
        <v>0</v>
      </c>
      <c r="H7" s="13">
        <v>0</v>
      </c>
      <c r="I7" s="13">
        <v>0</v>
      </c>
      <c r="J7" s="13">
        <v>0</v>
      </c>
      <c r="K7" s="13">
        <v>0</v>
      </c>
      <c r="L7" s="12">
        <v>40634</v>
      </c>
      <c r="M7" s="13">
        <v>2.6519999999999998E-2</v>
      </c>
    </row>
    <row r="8" spans="1:13">
      <c r="A8" t="s">
        <v>375</v>
      </c>
      <c r="B8" s="13">
        <v>1</v>
      </c>
      <c r="C8" s="13">
        <v>0</v>
      </c>
      <c r="D8" s="13">
        <v>0</v>
      </c>
      <c r="E8" s="13">
        <v>0</v>
      </c>
      <c r="F8" s="13">
        <v>0</v>
      </c>
      <c r="G8" s="13">
        <v>0</v>
      </c>
      <c r="H8" s="13">
        <v>0</v>
      </c>
      <c r="I8" s="13">
        <v>0</v>
      </c>
      <c r="J8" s="13">
        <v>0</v>
      </c>
      <c r="K8" s="13">
        <v>0</v>
      </c>
      <c r="L8" s="12">
        <v>40634</v>
      </c>
      <c r="M8" s="13">
        <v>2.3716999999999998E-2</v>
      </c>
    </row>
    <row r="9" spans="1:13">
      <c r="A9" t="s">
        <v>351</v>
      </c>
      <c r="B9" s="13">
        <v>1</v>
      </c>
      <c r="C9" s="13">
        <v>0</v>
      </c>
      <c r="D9" s="13">
        <v>0</v>
      </c>
      <c r="E9" s="13">
        <v>0</v>
      </c>
      <c r="F9" s="13">
        <v>0</v>
      </c>
      <c r="G9" s="13">
        <v>0</v>
      </c>
      <c r="H9" s="13">
        <v>0</v>
      </c>
      <c r="I9" s="13">
        <v>0</v>
      </c>
      <c r="J9" s="13">
        <v>0</v>
      </c>
      <c r="K9" s="13">
        <v>0</v>
      </c>
      <c r="L9" s="12">
        <v>40634</v>
      </c>
      <c r="M9" s="13">
        <v>2.9003999999999999E-2</v>
      </c>
    </row>
    <row r="10" spans="1:13">
      <c r="A10" t="s">
        <v>361</v>
      </c>
      <c r="B10" s="13">
        <v>1</v>
      </c>
      <c r="C10" s="13">
        <v>0</v>
      </c>
      <c r="D10" s="13">
        <v>0</v>
      </c>
      <c r="E10" s="13">
        <v>0</v>
      </c>
      <c r="F10" s="13">
        <v>0</v>
      </c>
      <c r="G10" s="13">
        <v>0</v>
      </c>
      <c r="H10" s="13">
        <v>0</v>
      </c>
      <c r="I10" s="13">
        <v>0</v>
      </c>
      <c r="J10" s="13">
        <v>0</v>
      </c>
      <c r="K10" s="13">
        <v>0</v>
      </c>
      <c r="L10" s="12">
        <v>40634</v>
      </c>
      <c r="M10" s="13">
        <v>5.6314999999999997E-2</v>
      </c>
    </row>
    <row r="11" spans="1:13">
      <c r="A11" t="s">
        <v>365</v>
      </c>
      <c r="B11" s="13">
        <v>1</v>
      </c>
      <c r="C11" s="13">
        <v>0</v>
      </c>
      <c r="D11" s="13">
        <v>0</v>
      </c>
      <c r="E11" s="13">
        <v>0</v>
      </c>
      <c r="F11" s="13">
        <v>0</v>
      </c>
      <c r="G11" s="13">
        <v>0</v>
      </c>
      <c r="H11" s="13">
        <v>0</v>
      </c>
      <c r="I11" s="13">
        <v>0</v>
      </c>
      <c r="J11" s="13">
        <v>0</v>
      </c>
      <c r="K11" s="13">
        <v>0</v>
      </c>
      <c r="L11" s="12">
        <v>40634</v>
      </c>
      <c r="M11" s="13">
        <v>3.1120999999999999E-2</v>
      </c>
    </row>
    <row r="12" spans="1:13">
      <c r="A12" t="s">
        <v>150</v>
      </c>
      <c r="B12" s="13">
        <v>0</v>
      </c>
      <c r="C12" s="13">
        <v>0</v>
      </c>
      <c r="D12" s="13">
        <v>0</v>
      </c>
      <c r="E12" s="13">
        <v>0</v>
      </c>
      <c r="F12" s="13">
        <v>0</v>
      </c>
      <c r="G12" s="13">
        <v>0</v>
      </c>
      <c r="H12" s="13">
        <v>0</v>
      </c>
      <c r="I12" s="13">
        <v>0</v>
      </c>
      <c r="J12" s="13">
        <v>0</v>
      </c>
      <c r="K12" s="13">
        <v>0</v>
      </c>
      <c r="L12" s="12">
        <v>40634</v>
      </c>
      <c r="M12" s="13">
        <v>4.1106999999999998E-2</v>
      </c>
    </row>
    <row r="13" spans="1:13">
      <c r="A13" t="s">
        <v>357</v>
      </c>
      <c r="B13" s="13">
        <v>1</v>
      </c>
      <c r="C13" s="13">
        <v>0</v>
      </c>
      <c r="D13" s="13">
        <v>0</v>
      </c>
      <c r="E13" s="13">
        <v>0</v>
      </c>
      <c r="F13" s="13">
        <v>0</v>
      </c>
      <c r="G13" s="13">
        <v>0</v>
      </c>
      <c r="H13" s="13">
        <v>0</v>
      </c>
      <c r="I13" s="13">
        <v>0</v>
      </c>
      <c r="J13" s="13">
        <v>0</v>
      </c>
      <c r="K13" s="13">
        <v>0</v>
      </c>
      <c r="L13" s="12">
        <v>40634</v>
      </c>
      <c r="M13" s="13">
        <v>1.2255E-2</v>
      </c>
    </row>
    <row r="14" spans="1:13">
      <c r="A14" t="s">
        <v>347</v>
      </c>
      <c r="B14" s="13">
        <v>1</v>
      </c>
      <c r="C14" s="13">
        <v>0</v>
      </c>
      <c r="D14" s="13">
        <v>0</v>
      </c>
      <c r="E14" s="13">
        <v>0</v>
      </c>
      <c r="F14" s="13">
        <v>0</v>
      </c>
      <c r="G14" s="13">
        <v>0</v>
      </c>
      <c r="H14" s="13">
        <v>0</v>
      </c>
      <c r="I14" s="13">
        <v>0</v>
      </c>
      <c r="J14" s="13">
        <v>0</v>
      </c>
      <c r="K14" s="13">
        <v>0</v>
      </c>
      <c r="L14" s="12">
        <v>40634</v>
      </c>
      <c r="M14" s="13">
        <v>2.3153E-2</v>
      </c>
    </row>
    <row r="15" spans="1:13">
      <c r="A15" t="s">
        <v>359</v>
      </c>
      <c r="B15" s="13">
        <v>1</v>
      </c>
      <c r="C15" s="13">
        <v>0</v>
      </c>
      <c r="D15" s="13">
        <v>0</v>
      </c>
      <c r="E15" s="13">
        <v>0</v>
      </c>
      <c r="F15" s="13">
        <v>0</v>
      </c>
      <c r="G15" s="13">
        <v>0</v>
      </c>
      <c r="H15" s="13">
        <v>0</v>
      </c>
      <c r="I15" s="13">
        <v>0</v>
      </c>
      <c r="J15" s="13">
        <v>0</v>
      </c>
      <c r="K15" s="13">
        <v>0</v>
      </c>
      <c r="L15" s="12">
        <v>40634</v>
      </c>
      <c r="M15" s="13">
        <v>4.3926E-2</v>
      </c>
    </row>
    <row r="16" spans="1:13">
      <c r="A16" t="s">
        <v>343</v>
      </c>
      <c r="B16" s="13">
        <v>0</v>
      </c>
      <c r="C16" s="13">
        <v>0</v>
      </c>
      <c r="D16" s="13">
        <v>0</v>
      </c>
      <c r="E16" s="13">
        <v>0</v>
      </c>
      <c r="F16" s="13">
        <v>0</v>
      </c>
      <c r="G16" s="13">
        <v>0</v>
      </c>
      <c r="H16" s="13">
        <v>0</v>
      </c>
      <c r="I16" s="13">
        <v>0</v>
      </c>
      <c r="J16" s="13">
        <v>0</v>
      </c>
      <c r="K16" s="13">
        <v>0</v>
      </c>
      <c r="L16" s="12">
        <v>40634</v>
      </c>
      <c r="M16" s="13">
        <v>0.16978299999999999</v>
      </c>
    </row>
    <row r="17" spans="1:13">
      <c r="A17" t="s">
        <v>373</v>
      </c>
      <c r="B17" s="13">
        <v>1</v>
      </c>
      <c r="C17" s="13">
        <v>0</v>
      </c>
      <c r="D17" s="13">
        <v>0</v>
      </c>
      <c r="E17" s="13">
        <v>0</v>
      </c>
      <c r="F17" s="13">
        <v>0</v>
      </c>
      <c r="G17" s="13">
        <v>0</v>
      </c>
      <c r="H17" s="13">
        <v>0</v>
      </c>
      <c r="I17" s="13">
        <v>0</v>
      </c>
      <c r="J17" s="13">
        <v>0</v>
      </c>
      <c r="K17" s="13">
        <v>0</v>
      </c>
      <c r="L17" s="12">
        <v>40634</v>
      </c>
      <c r="M17" s="13">
        <v>1.5990000000000001E-2</v>
      </c>
    </row>
    <row r="18" spans="1:13">
      <c r="A18" t="s">
        <v>7</v>
      </c>
      <c r="B18" s="13">
        <v>0</v>
      </c>
      <c r="C18" s="13">
        <v>0</v>
      </c>
      <c r="D18" s="13">
        <v>0</v>
      </c>
      <c r="E18" s="13">
        <v>0</v>
      </c>
      <c r="F18" s="13">
        <v>0</v>
      </c>
      <c r="G18" s="13">
        <v>0</v>
      </c>
      <c r="H18" s="13">
        <v>0</v>
      </c>
      <c r="I18" s="13">
        <v>0</v>
      </c>
      <c r="J18" s="13">
        <v>0</v>
      </c>
      <c r="K18" s="13">
        <v>0</v>
      </c>
      <c r="L18" s="12">
        <v>40634</v>
      </c>
      <c r="M18" s="13">
        <v>6.3827999999999996E-2</v>
      </c>
    </row>
    <row r="19" spans="1:13">
      <c r="A19" t="s">
        <v>369</v>
      </c>
      <c r="B19" s="13">
        <v>0</v>
      </c>
      <c r="C19" s="13">
        <v>0</v>
      </c>
      <c r="D19" s="13">
        <v>0</v>
      </c>
      <c r="E19" s="13">
        <v>0</v>
      </c>
      <c r="F19" s="13">
        <v>0</v>
      </c>
      <c r="G19" s="13">
        <v>0</v>
      </c>
      <c r="H19" s="13">
        <v>0</v>
      </c>
      <c r="I19" s="13">
        <v>0</v>
      </c>
      <c r="J19" s="13">
        <v>0</v>
      </c>
      <c r="K19" s="13">
        <v>0</v>
      </c>
      <c r="L19" s="12">
        <v>40634</v>
      </c>
      <c r="M19" s="13">
        <v>2.6401000000000001E-2</v>
      </c>
    </row>
    <row r="20" spans="1:13">
      <c r="A20" t="s">
        <v>337</v>
      </c>
      <c r="B20" s="13">
        <v>1</v>
      </c>
      <c r="C20" s="13">
        <v>0</v>
      </c>
      <c r="D20" s="13">
        <v>0</v>
      </c>
      <c r="E20" s="13">
        <v>0</v>
      </c>
      <c r="F20" s="13">
        <v>0</v>
      </c>
      <c r="G20" s="13">
        <v>0</v>
      </c>
      <c r="H20" s="13">
        <v>0</v>
      </c>
      <c r="I20" s="13">
        <v>0</v>
      </c>
      <c r="J20" s="13">
        <v>0</v>
      </c>
      <c r="K20" s="13">
        <v>0</v>
      </c>
      <c r="L20" s="12">
        <v>40634</v>
      </c>
      <c r="M20" s="13">
        <v>4.4830000000000002E-2</v>
      </c>
    </row>
    <row r="21" spans="1:13">
      <c r="A21" t="s">
        <v>335</v>
      </c>
      <c r="B21" s="13">
        <v>1</v>
      </c>
      <c r="C21" s="13">
        <v>0</v>
      </c>
      <c r="D21" s="13">
        <v>0</v>
      </c>
      <c r="E21" s="13">
        <v>0</v>
      </c>
      <c r="F21" s="13">
        <v>0</v>
      </c>
      <c r="G21" s="13">
        <v>0</v>
      </c>
      <c r="H21" s="13">
        <v>0</v>
      </c>
      <c r="I21" s="13">
        <v>0</v>
      </c>
      <c r="J21" s="13">
        <v>0</v>
      </c>
      <c r="K21" s="13">
        <v>0</v>
      </c>
      <c r="L21" s="12">
        <v>40634</v>
      </c>
      <c r="M21" s="13">
        <v>4.4998000000000003E-2</v>
      </c>
    </row>
    <row r="22" spans="1:13">
      <c r="A22" t="s">
        <v>331</v>
      </c>
      <c r="B22" s="13">
        <v>1</v>
      </c>
      <c r="C22" s="13">
        <v>0</v>
      </c>
      <c r="D22" s="13">
        <v>0</v>
      </c>
      <c r="E22" s="13">
        <v>0</v>
      </c>
      <c r="F22" s="13">
        <v>0</v>
      </c>
      <c r="G22" s="13">
        <v>0</v>
      </c>
      <c r="H22" s="13">
        <v>0</v>
      </c>
      <c r="I22" s="13">
        <v>0</v>
      </c>
      <c r="J22" s="13">
        <v>0</v>
      </c>
      <c r="K22" s="13">
        <v>0</v>
      </c>
      <c r="L22" s="12">
        <v>40634</v>
      </c>
      <c r="M22" s="13">
        <v>8.2159999999999997E-2</v>
      </c>
    </row>
    <row r="23" spans="1:13">
      <c r="A23" t="s">
        <v>339</v>
      </c>
      <c r="B23" s="13">
        <v>1</v>
      </c>
      <c r="C23" s="13">
        <v>0</v>
      </c>
      <c r="D23" s="13">
        <v>0</v>
      </c>
      <c r="E23" s="13">
        <v>0</v>
      </c>
      <c r="F23" s="13">
        <v>0</v>
      </c>
      <c r="G23" s="13">
        <v>0</v>
      </c>
      <c r="H23" s="13">
        <v>0</v>
      </c>
      <c r="I23" s="13">
        <v>0</v>
      </c>
      <c r="J23" s="13">
        <v>0</v>
      </c>
      <c r="K23" s="13">
        <v>0</v>
      </c>
      <c r="L23" s="12">
        <v>40634</v>
      </c>
      <c r="M23" s="13">
        <v>4.1850999999999999E-2</v>
      </c>
    </row>
    <row r="24" spans="1:13">
      <c r="A24" t="s">
        <v>371</v>
      </c>
      <c r="B24" s="13">
        <v>1</v>
      </c>
      <c r="C24" s="13">
        <v>0</v>
      </c>
      <c r="D24" s="13">
        <v>0</v>
      </c>
      <c r="E24" s="13">
        <v>0</v>
      </c>
      <c r="F24" s="13">
        <v>0</v>
      </c>
      <c r="G24" s="13">
        <v>0</v>
      </c>
      <c r="H24" s="13">
        <v>0</v>
      </c>
      <c r="I24" s="13">
        <v>0</v>
      </c>
      <c r="J24" s="13">
        <v>0</v>
      </c>
      <c r="K24" s="13">
        <v>0</v>
      </c>
      <c r="L24" s="12">
        <v>40634</v>
      </c>
      <c r="M24" s="13">
        <v>3.7363E-2</v>
      </c>
    </row>
    <row r="25" spans="1:13">
      <c r="A25" t="s">
        <v>345</v>
      </c>
      <c r="B25" s="13">
        <v>1</v>
      </c>
      <c r="C25" s="13">
        <v>0</v>
      </c>
      <c r="D25" s="13">
        <v>0</v>
      </c>
      <c r="E25" s="13">
        <v>0</v>
      </c>
      <c r="F25" s="13">
        <v>0</v>
      </c>
      <c r="G25" s="13">
        <v>0</v>
      </c>
      <c r="H25" s="13">
        <v>0</v>
      </c>
      <c r="I25" s="13">
        <v>0</v>
      </c>
      <c r="J25" s="13">
        <v>0</v>
      </c>
      <c r="K25" s="13">
        <v>0</v>
      </c>
      <c r="L25" s="12">
        <v>40634</v>
      </c>
      <c r="M25" s="13">
        <v>7.5872999999999996E-2</v>
      </c>
    </row>
    <row r="26" spans="1:13">
      <c r="A26" t="s">
        <v>333</v>
      </c>
      <c r="B26" s="13">
        <v>1</v>
      </c>
      <c r="C26" s="13">
        <v>0</v>
      </c>
      <c r="D26" s="13">
        <v>0</v>
      </c>
      <c r="E26" s="13">
        <v>0</v>
      </c>
      <c r="F26" s="13">
        <v>0</v>
      </c>
      <c r="G26" s="13">
        <v>0</v>
      </c>
      <c r="H26" s="13">
        <v>0</v>
      </c>
      <c r="I26" s="13">
        <v>0</v>
      </c>
      <c r="J26" s="13">
        <v>0</v>
      </c>
      <c r="K26" s="13">
        <v>0</v>
      </c>
      <c r="L26" s="12">
        <v>40634</v>
      </c>
    </row>
    <row r="27" spans="1:13">
      <c r="A27" t="s">
        <v>377</v>
      </c>
      <c r="B27" s="13">
        <v>0.69893799999999995</v>
      </c>
      <c r="C27" s="14">
        <v>0</v>
      </c>
      <c r="D27" s="14">
        <v>0</v>
      </c>
      <c r="E27" s="14">
        <v>0</v>
      </c>
      <c r="F27" s="14">
        <v>0</v>
      </c>
      <c r="G27" s="14">
        <v>0</v>
      </c>
      <c r="H27" s="14">
        <v>0</v>
      </c>
      <c r="I27" s="14">
        <v>0</v>
      </c>
      <c r="J27" s="14">
        <v>0</v>
      </c>
      <c r="L27" s="12">
        <v>40634</v>
      </c>
      <c r="M27" s="13">
        <v>9.9989999999999992E-3</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2:G904"/>
  <sheetViews>
    <sheetView workbookViewId="0"/>
  </sheetViews>
  <sheetFormatPr defaultColWidth="11" defaultRowHeight="15.75"/>
  <sheetData>
    <row r="2" spans="1:7">
      <c r="A2" t="s">
        <v>458</v>
      </c>
      <c r="B2" s="12">
        <v>38991</v>
      </c>
      <c r="C2">
        <v>0</v>
      </c>
      <c r="D2" s="13">
        <v>4.4999999999999997E-3</v>
      </c>
      <c r="E2" s="210">
        <v>1000</v>
      </c>
      <c r="F2" s="14">
        <v>0.2</v>
      </c>
      <c r="G2" s="14">
        <v>0.8</v>
      </c>
    </row>
    <row r="3" spans="1:7">
      <c r="A3" t="s">
        <v>458</v>
      </c>
      <c r="B3" s="12">
        <v>39022</v>
      </c>
      <c r="C3">
        <v>0</v>
      </c>
      <c r="D3" s="13">
        <v>2.6800000000000001E-2</v>
      </c>
      <c r="E3" s="210">
        <v>1004.5</v>
      </c>
      <c r="F3" s="13">
        <v>0.23899999999999999</v>
      </c>
      <c r="G3" s="13">
        <v>0.68379999999999996</v>
      </c>
    </row>
    <row r="4" spans="1:7">
      <c r="A4" t="s">
        <v>458</v>
      </c>
      <c r="B4" s="12">
        <v>39052</v>
      </c>
      <c r="C4">
        <v>0</v>
      </c>
      <c r="D4" s="13">
        <v>3.3000000000000002E-2</v>
      </c>
      <c r="E4" s="210">
        <v>1031.42</v>
      </c>
      <c r="F4" s="13">
        <v>0.27579999999999999</v>
      </c>
      <c r="G4" s="13">
        <v>0.78480000000000005</v>
      </c>
    </row>
    <row r="5" spans="1:7">
      <c r="A5" t="s">
        <v>458</v>
      </c>
      <c r="B5" s="12">
        <v>39083</v>
      </c>
      <c r="C5">
        <v>0</v>
      </c>
      <c r="D5" s="13">
        <v>3.2000000000000002E-3</v>
      </c>
      <c r="E5" s="210">
        <v>1065.45</v>
      </c>
      <c r="F5" s="13">
        <v>0.1414</v>
      </c>
      <c r="G5" s="13">
        <v>0.82769999999999999</v>
      </c>
    </row>
    <row r="6" spans="1:7">
      <c r="A6" t="s">
        <v>458</v>
      </c>
      <c r="B6" s="12">
        <v>39114</v>
      </c>
      <c r="C6">
        <v>0</v>
      </c>
      <c r="D6" s="13">
        <v>3.5999999999999999E-3</v>
      </c>
      <c r="E6" s="210">
        <v>1068.8599999999999</v>
      </c>
      <c r="F6" s="13">
        <v>0.16589999999999999</v>
      </c>
      <c r="G6" s="13">
        <v>0.96560000000000001</v>
      </c>
    </row>
    <row r="7" spans="1:7">
      <c r="A7" t="s">
        <v>458</v>
      </c>
      <c r="B7" s="12">
        <v>39142</v>
      </c>
      <c r="C7">
        <v>0</v>
      </c>
      <c r="D7" s="13">
        <v>0.1178</v>
      </c>
      <c r="E7" s="210">
        <v>1072.71</v>
      </c>
      <c r="F7" s="13">
        <v>0.61829999999999996</v>
      </c>
      <c r="G7" s="13">
        <v>0.85450000000000004</v>
      </c>
    </row>
    <row r="8" spans="1:7">
      <c r="A8" t="s">
        <v>458</v>
      </c>
      <c r="B8" s="12">
        <v>39173</v>
      </c>
      <c r="C8">
        <v>0</v>
      </c>
      <c r="D8" s="13">
        <v>7.9399999999999998E-2</v>
      </c>
      <c r="E8" s="210">
        <v>1199.08</v>
      </c>
      <c r="F8" s="13">
        <v>0.54610000000000003</v>
      </c>
      <c r="G8" s="13">
        <v>0.82669999999999999</v>
      </c>
    </row>
    <row r="9" spans="1:7">
      <c r="A9" t="s">
        <v>458</v>
      </c>
      <c r="B9" s="12">
        <v>39203</v>
      </c>
      <c r="C9">
        <v>0</v>
      </c>
      <c r="D9" s="13">
        <v>1.5E-3</v>
      </c>
      <c r="E9" s="210">
        <v>1294.28</v>
      </c>
      <c r="F9" s="13">
        <v>0.37440000000000001</v>
      </c>
      <c r="G9" s="13">
        <v>0.88229999999999997</v>
      </c>
    </row>
    <row r="10" spans="1:7">
      <c r="A10" t="s">
        <v>458</v>
      </c>
      <c r="B10" s="12">
        <v>39234</v>
      </c>
      <c r="C10">
        <v>0</v>
      </c>
      <c r="D10" s="13">
        <v>1.9099999999999999E-2</v>
      </c>
      <c r="E10" s="210">
        <v>1292.3399999999999</v>
      </c>
      <c r="F10" s="13">
        <v>0.62509999999999999</v>
      </c>
      <c r="G10" s="13">
        <v>1.1652</v>
      </c>
    </row>
    <row r="11" spans="1:7">
      <c r="A11" t="s">
        <v>458</v>
      </c>
      <c r="B11" s="12">
        <v>39264</v>
      </c>
      <c r="C11">
        <v>0</v>
      </c>
      <c r="D11" s="13">
        <v>0.12690000000000001</v>
      </c>
      <c r="E11" s="210">
        <v>1267.6600000000001</v>
      </c>
      <c r="F11" s="13">
        <v>0.42699999999999999</v>
      </c>
      <c r="G11" s="13">
        <v>1.1807000000000001</v>
      </c>
    </row>
    <row r="12" spans="1:7">
      <c r="A12" t="s">
        <v>458</v>
      </c>
      <c r="B12" s="12">
        <v>39295</v>
      </c>
      <c r="C12">
        <v>0</v>
      </c>
      <c r="D12" s="13">
        <v>9.9400000000000002E-2</v>
      </c>
      <c r="E12" s="210">
        <v>1428.52</v>
      </c>
      <c r="F12" s="13">
        <v>0.53129999999999999</v>
      </c>
      <c r="G12" s="13">
        <v>1.3365</v>
      </c>
    </row>
    <row r="13" spans="1:7">
      <c r="A13" t="s">
        <v>458</v>
      </c>
      <c r="B13" s="12">
        <v>39326</v>
      </c>
      <c r="C13">
        <v>0</v>
      </c>
      <c r="D13" s="13">
        <v>7.1099999999999997E-2</v>
      </c>
      <c r="E13" s="210">
        <v>1286.53</v>
      </c>
      <c r="F13" s="13">
        <v>0.54910000000000003</v>
      </c>
      <c r="G13" s="13">
        <v>1.0217000000000001</v>
      </c>
    </row>
    <row r="14" spans="1:7">
      <c r="A14" t="s">
        <v>458</v>
      </c>
      <c r="B14" s="12">
        <v>39356</v>
      </c>
      <c r="C14">
        <v>0</v>
      </c>
      <c r="D14" s="13">
        <v>6.6500000000000004E-2</v>
      </c>
      <c r="E14" s="210">
        <v>1378</v>
      </c>
      <c r="F14" s="13">
        <v>0.51870000000000005</v>
      </c>
      <c r="G14" s="13">
        <v>0.9022</v>
      </c>
    </row>
    <row r="15" spans="1:7">
      <c r="A15" t="s">
        <v>458</v>
      </c>
      <c r="B15" s="12">
        <v>39387</v>
      </c>
      <c r="C15">
        <v>0</v>
      </c>
      <c r="D15" s="13">
        <v>6.3E-2</v>
      </c>
      <c r="E15" s="210">
        <v>1469.64</v>
      </c>
      <c r="F15" s="13">
        <v>0.34420000000000001</v>
      </c>
      <c r="G15" s="13">
        <v>0.93169999999999997</v>
      </c>
    </row>
    <row r="16" spans="1:7">
      <c r="A16" t="s">
        <v>458</v>
      </c>
      <c r="B16" s="12">
        <v>39417</v>
      </c>
      <c r="C16">
        <v>0</v>
      </c>
      <c r="D16" s="13">
        <v>1.8200000000000001E-2</v>
      </c>
      <c r="E16" s="210">
        <v>1562.23</v>
      </c>
      <c r="F16" s="13">
        <v>0.26169999999999999</v>
      </c>
      <c r="G16" s="13">
        <v>0.79349999999999998</v>
      </c>
    </row>
    <row r="17" spans="1:7">
      <c r="A17" t="s">
        <v>458</v>
      </c>
      <c r="B17" s="12">
        <v>39448</v>
      </c>
      <c r="C17">
        <v>0</v>
      </c>
      <c r="D17" s="13">
        <v>9.9000000000000008E-3</v>
      </c>
      <c r="E17" s="210">
        <v>1590.66</v>
      </c>
      <c r="F17" s="13">
        <v>0.29420000000000002</v>
      </c>
      <c r="G17" s="13">
        <v>0.67810000000000004</v>
      </c>
    </row>
    <row r="18" spans="1:7">
      <c r="A18" t="s">
        <v>458</v>
      </c>
      <c r="B18" s="12">
        <v>39479</v>
      </c>
      <c r="C18">
        <v>0</v>
      </c>
      <c r="D18" s="13">
        <v>1.54E-2</v>
      </c>
      <c r="E18" s="210">
        <v>1574.91</v>
      </c>
      <c r="F18" s="13">
        <v>0.36880000000000002</v>
      </c>
      <c r="G18" s="13">
        <v>0.83169999999999999</v>
      </c>
    </row>
    <row r="19" spans="1:7">
      <c r="A19" t="s">
        <v>458</v>
      </c>
      <c r="B19" s="12">
        <v>39508</v>
      </c>
      <c r="C19">
        <v>0</v>
      </c>
      <c r="D19" s="13">
        <v>8.0199999999999994E-2</v>
      </c>
      <c r="E19" s="210">
        <v>1599.16</v>
      </c>
      <c r="F19" s="13">
        <v>0.48070000000000002</v>
      </c>
      <c r="G19" s="14">
        <v>0.72</v>
      </c>
    </row>
    <row r="20" spans="1:7">
      <c r="A20" t="s">
        <v>458</v>
      </c>
      <c r="B20" s="12">
        <v>39539</v>
      </c>
      <c r="C20">
        <v>0</v>
      </c>
      <c r="D20" s="13">
        <v>5.2400000000000002E-2</v>
      </c>
      <c r="E20" s="210">
        <v>1470.91</v>
      </c>
      <c r="F20" s="13">
        <v>0.32929999999999998</v>
      </c>
      <c r="G20" s="13">
        <v>0.93359999999999999</v>
      </c>
    </row>
    <row r="21" spans="1:7">
      <c r="A21" t="s">
        <v>458</v>
      </c>
      <c r="B21" s="12">
        <v>39569</v>
      </c>
      <c r="C21">
        <v>0</v>
      </c>
      <c r="D21" s="13">
        <v>5.5999999999999999E-3</v>
      </c>
      <c r="E21" s="210">
        <v>1547.99</v>
      </c>
      <c r="F21" s="13">
        <v>0.28810000000000002</v>
      </c>
      <c r="G21" s="13">
        <v>0.98009999999999997</v>
      </c>
    </row>
    <row r="22" spans="1:7">
      <c r="A22" t="s">
        <v>458</v>
      </c>
      <c r="B22" s="12">
        <v>39600</v>
      </c>
      <c r="C22">
        <v>0</v>
      </c>
      <c r="D22" s="13">
        <v>9.8199999999999996E-2</v>
      </c>
      <c r="E22" s="210">
        <v>1556.66</v>
      </c>
      <c r="F22" s="13">
        <v>0.28820000000000001</v>
      </c>
      <c r="G22" s="13">
        <v>0.99709999999999999</v>
      </c>
    </row>
    <row r="23" spans="1:7">
      <c r="A23" t="s">
        <v>458</v>
      </c>
      <c r="B23" s="12">
        <v>39630</v>
      </c>
      <c r="C23">
        <v>0</v>
      </c>
      <c r="D23" s="13">
        <v>9.1999999999999998E-3</v>
      </c>
      <c r="E23" s="210">
        <v>1403.79</v>
      </c>
      <c r="F23" s="13">
        <v>0.49370000000000003</v>
      </c>
      <c r="G23" s="13">
        <v>1.1389</v>
      </c>
    </row>
    <row r="24" spans="1:7">
      <c r="A24" t="s">
        <v>458</v>
      </c>
      <c r="B24" s="12">
        <v>39661</v>
      </c>
      <c r="C24">
        <v>0</v>
      </c>
      <c r="D24" s="13">
        <v>8.1799999999999998E-2</v>
      </c>
      <c r="E24" s="210">
        <v>1416.71</v>
      </c>
      <c r="F24" s="13">
        <v>0.69989999999999997</v>
      </c>
      <c r="G24" s="13">
        <v>1.2531000000000001</v>
      </c>
    </row>
    <row r="25" spans="1:7">
      <c r="A25" t="s">
        <v>458</v>
      </c>
      <c r="B25" s="12">
        <v>39692</v>
      </c>
      <c r="C25">
        <v>0</v>
      </c>
      <c r="D25" s="13">
        <v>7.6700000000000004E-2</v>
      </c>
      <c r="E25" s="210">
        <v>1300.82</v>
      </c>
      <c r="F25" s="13">
        <v>0.82150000000000001</v>
      </c>
      <c r="G25" s="13">
        <v>1.0888</v>
      </c>
    </row>
    <row r="26" spans="1:7">
      <c r="A26" t="s">
        <v>458</v>
      </c>
      <c r="B26" s="12">
        <v>39722</v>
      </c>
      <c r="C26">
        <v>0</v>
      </c>
      <c r="D26" s="13">
        <v>9.9599999999999994E-2</v>
      </c>
      <c r="E26" s="210">
        <v>1201.05</v>
      </c>
      <c r="F26" s="13">
        <v>0.3261</v>
      </c>
      <c r="G26" s="13">
        <v>0.61460000000000004</v>
      </c>
    </row>
    <row r="27" spans="1:7">
      <c r="A27" t="s">
        <v>458</v>
      </c>
      <c r="B27" s="12">
        <v>39753</v>
      </c>
      <c r="C27">
        <v>0</v>
      </c>
      <c r="D27" s="13">
        <v>0.01</v>
      </c>
      <c r="E27" s="210">
        <v>1081.42</v>
      </c>
      <c r="F27" s="13">
        <v>0.3175</v>
      </c>
      <c r="G27" s="13">
        <v>0.51300000000000001</v>
      </c>
    </row>
    <row r="28" spans="1:7">
      <c r="A28" t="s">
        <v>458</v>
      </c>
      <c r="B28" s="12">
        <v>39783</v>
      </c>
      <c r="C28">
        <v>0</v>
      </c>
      <c r="D28" s="13">
        <v>9.4999999999999998E-3</v>
      </c>
      <c r="E28" s="210">
        <v>1092.24</v>
      </c>
      <c r="F28" s="13">
        <v>0.4415</v>
      </c>
      <c r="G28" s="13">
        <v>0.54710000000000003</v>
      </c>
    </row>
    <row r="29" spans="1:7">
      <c r="A29" t="s">
        <v>458</v>
      </c>
      <c r="B29" s="12">
        <v>39814</v>
      </c>
      <c r="C29">
        <v>0</v>
      </c>
      <c r="D29" s="13">
        <v>7.6200000000000004E-2</v>
      </c>
      <c r="E29" s="210">
        <v>1081.8599999999999</v>
      </c>
      <c r="F29" s="13">
        <v>0.35909999999999997</v>
      </c>
      <c r="G29" s="13">
        <v>0.39910000000000001</v>
      </c>
    </row>
    <row r="30" spans="1:7">
      <c r="A30" t="s">
        <v>458</v>
      </c>
      <c r="B30" s="12">
        <v>39845</v>
      </c>
      <c r="C30">
        <v>0</v>
      </c>
      <c r="D30" s="13">
        <v>3.1E-2</v>
      </c>
      <c r="E30" s="210">
        <v>1164.3</v>
      </c>
      <c r="F30" s="13">
        <v>0.55089999999999995</v>
      </c>
      <c r="G30" s="13">
        <v>0.48959999999999998</v>
      </c>
    </row>
    <row r="31" spans="1:7">
      <c r="A31" t="s">
        <v>458</v>
      </c>
      <c r="B31" s="12">
        <v>39873</v>
      </c>
      <c r="C31">
        <v>0</v>
      </c>
      <c r="D31" s="13">
        <v>3.7499999999999999E-2</v>
      </c>
      <c r="E31" s="210">
        <v>1200.3900000000001</v>
      </c>
      <c r="F31" s="13">
        <v>0.4572</v>
      </c>
      <c r="G31" s="13">
        <v>0.49059999999999998</v>
      </c>
    </row>
    <row r="32" spans="1:7">
      <c r="A32" t="s">
        <v>458</v>
      </c>
      <c r="B32" s="12">
        <v>39904</v>
      </c>
      <c r="C32">
        <v>0</v>
      </c>
      <c r="D32" s="13">
        <v>2.5999999999999999E-2</v>
      </c>
      <c r="E32" s="210">
        <v>1155.3800000000001</v>
      </c>
      <c r="F32" s="13">
        <v>0.51370000000000005</v>
      </c>
      <c r="G32" s="13">
        <v>0.45860000000000001</v>
      </c>
    </row>
    <row r="33" spans="1:7">
      <c r="A33" t="s">
        <v>458</v>
      </c>
      <c r="B33" s="12">
        <v>39934</v>
      </c>
      <c r="C33">
        <v>0</v>
      </c>
      <c r="D33" s="13">
        <v>7.9799999999999996E-2</v>
      </c>
      <c r="E33" s="210">
        <v>1185.42</v>
      </c>
      <c r="F33" s="13">
        <v>0.50980000000000003</v>
      </c>
      <c r="G33" s="13">
        <v>0.76060000000000005</v>
      </c>
    </row>
    <row r="34" spans="1:7">
      <c r="A34" t="s">
        <v>458</v>
      </c>
      <c r="B34" s="12">
        <v>39965</v>
      </c>
      <c r="C34">
        <v>0</v>
      </c>
      <c r="D34" s="13">
        <v>5.0799999999999998E-2</v>
      </c>
      <c r="E34" s="210">
        <v>1280.01</v>
      </c>
      <c r="F34" s="13">
        <v>0.57199999999999995</v>
      </c>
      <c r="G34" s="13">
        <v>0.86350000000000005</v>
      </c>
    </row>
    <row r="35" spans="1:7">
      <c r="A35" t="s">
        <v>458</v>
      </c>
      <c r="B35" s="12">
        <v>39995</v>
      </c>
      <c r="C35">
        <v>0</v>
      </c>
      <c r="D35" s="13">
        <v>2.3E-2</v>
      </c>
      <c r="E35" s="210">
        <v>1345.04</v>
      </c>
      <c r="F35" s="13">
        <v>0.69869999999999999</v>
      </c>
      <c r="G35" s="13">
        <v>0.99629999999999996</v>
      </c>
    </row>
    <row r="36" spans="1:7">
      <c r="A36" t="s">
        <v>458</v>
      </c>
      <c r="B36" s="12">
        <v>40026</v>
      </c>
      <c r="C36">
        <v>0</v>
      </c>
      <c r="D36" s="13">
        <v>2.5000000000000001E-3</v>
      </c>
      <c r="E36" s="210">
        <v>1375.97</v>
      </c>
      <c r="F36" s="13">
        <v>0.73240000000000005</v>
      </c>
      <c r="G36" s="13">
        <v>0.98919999999999997</v>
      </c>
    </row>
    <row r="37" spans="1:7">
      <c r="A37" t="s">
        <v>458</v>
      </c>
      <c r="B37" s="12">
        <v>40057</v>
      </c>
      <c r="C37">
        <v>0</v>
      </c>
      <c r="D37" s="13">
        <v>3.4200000000000001E-2</v>
      </c>
      <c r="E37" s="210">
        <v>1379.41</v>
      </c>
      <c r="F37" s="13">
        <v>0.62309999999999999</v>
      </c>
      <c r="G37" s="13">
        <v>0.8619</v>
      </c>
    </row>
    <row r="38" spans="1:7">
      <c r="A38" t="s">
        <v>458</v>
      </c>
      <c r="B38" s="12">
        <v>40087</v>
      </c>
      <c r="C38">
        <v>0</v>
      </c>
      <c r="D38" s="13">
        <v>3.5200000000000002E-2</v>
      </c>
      <c r="E38" s="210">
        <v>1426.59</v>
      </c>
      <c r="F38" s="13">
        <v>0.72599999999999998</v>
      </c>
      <c r="G38" s="13">
        <v>1.2609999999999999</v>
      </c>
    </row>
    <row r="39" spans="1:7">
      <c r="A39" t="s">
        <v>458</v>
      </c>
      <c r="B39" s="12">
        <v>40118</v>
      </c>
      <c r="C39">
        <v>0</v>
      </c>
      <c r="D39" s="13">
        <v>5.1999999999999998E-3</v>
      </c>
      <c r="E39" s="210">
        <v>1376.37</v>
      </c>
      <c r="F39" s="13">
        <v>0.66310000000000002</v>
      </c>
      <c r="G39" s="13">
        <v>1.1811</v>
      </c>
    </row>
    <row r="40" spans="1:7">
      <c r="A40" t="s">
        <v>458</v>
      </c>
      <c r="B40" s="12">
        <v>40148</v>
      </c>
      <c r="C40">
        <v>0</v>
      </c>
      <c r="D40" s="13">
        <v>7.3000000000000001E-3</v>
      </c>
      <c r="E40" s="210">
        <v>1383.53</v>
      </c>
      <c r="F40" s="13">
        <v>0.76319999999999999</v>
      </c>
      <c r="G40" s="13">
        <v>1.0464</v>
      </c>
    </row>
    <row r="41" spans="1:7">
      <c r="A41" t="s">
        <v>458</v>
      </c>
      <c r="B41" s="12">
        <v>40179</v>
      </c>
      <c r="C41">
        <v>0</v>
      </c>
      <c r="D41" s="13">
        <v>6.1000000000000004E-3</v>
      </c>
      <c r="E41" s="210">
        <v>1393.63</v>
      </c>
      <c r="F41" s="13">
        <v>0.5403</v>
      </c>
      <c r="G41" s="13">
        <v>1.2509999999999999</v>
      </c>
    </row>
    <row r="42" spans="1:7">
      <c r="A42" t="s">
        <v>458</v>
      </c>
      <c r="B42" s="12">
        <v>40210</v>
      </c>
      <c r="C42">
        <v>0</v>
      </c>
      <c r="D42" s="13">
        <v>1.26E-2</v>
      </c>
      <c r="E42" s="210">
        <v>1385.13</v>
      </c>
      <c r="F42" s="13">
        <v>0.57110000000000005</v>
      </c>
      <c r="G42" s="13">
        <v>1.2818000000000001</v>
      </c>
    </row>
    <row r="43" spans="1:7">
      <c r="A43" t="s">
        <v>458</v>
      </c>
      <c r="B43" s="12">
        <v>40238</v>
      </c>
      <c r="C43">
        <v>0</v>
      </c>
      <c r="D43" s="13">
        <v>5.4800000000000001E-2</v>
      </c>
      <c r="E43" s="210">
        <v>1367.68</v>
      </c>
      <c r="F43" s="13">
        <v>0.45779999999999998</v>
      </c>
      <c r="G43" s="13">
        <v>1.1339999999999999</v>
      </c>
    </row>
    <row r="44" spans="1:7">
      <c r="A44" t="s">
        <v>458</v>
      </c>
      <c r="B44" s="12">
        <v>40269</v>
      </c>
      <c r="C44">
        <v>0</v>
      </c>
      <c r="D44" s="13">
        <v>1.4800000000000001E-2</v>
      </c>
      <c r="E44" s="210">
        <v>1442.63</v>
      </c>
      <c r="F44" s="13">
        <v>0.59599999999999997</v>
      </c>
      <c r="G44" s="13">
        <v>1.3853</v>
      </c>
    </row>
    <row r="45" spans="1:7">
      <c r="A45" t="s">
        <v>458</v>
      </c>
      <c r="B45" s="12">
        <v>40299</v>
      </c>
      <c r="C45">
        <v>0</v>
      </c>
      <c r="D45" s="13">
        <v>9.2100000000000001E-2</v>
      </c>
      <c r="E45" s="210">
        <v>1421.27</v>
      </c>
      <c r="F45" s="13">
        <v>0.66569999999999996</v>
      </c>
      <c r="G45" s="13">
        <v>1.3511</v>
      </c>
    </row>
    <row r="46" spans="1:7">
      <c r="A46" t="s">
        <v>458</v>
      </c>
      <c r="B46" s="12">
        <v>40330</v>
      </c>
      <c r="C46">
        <v>0</v>
      </c>
      <c r="D46" s="13">
        <v>2.06E-2</v>
      </c>
      <c r="E46" s="210">
        <v>1290.3699999999999</v>
      </c>
      <c r="F46" s="13">
        <v>0.70189999999999997</v>
      </c>
      <c r="G46" s="13">
        <v>1.2650999999999999</v>
      </c>
    </row>
    <row r="47" spans="1:7">
      <c r="A47" t="s">
        <v>458</v>
      </c>
      <c r="B47" s="12">
        <v>40360</v>
      </c>
      <c r="C47">
        <v>0</v>
      </c>
      <c r="D47" s="13">
        <v>0.1149</v>
      </c>
      <c r="E47" s="210">
        <v>1263.79</v>
      </c>
      <c r="F47" s="13">
        <v>0.55030000000000001</v>
      </c>
      <c r="G47" s="13">
        <v>1.5089999999999999</v>
      </c>
    </row>
    <row r="48" spans="1:7">
      <c r="A48" t="s">
        <v>458</v>
      </c>
      <c r="B48" s="12">
        <v>40391</v>
      </c>
      <c r="C48">
        <v>0</v>
      </c>
      <c r="D48" s="13">
        <v>2.3900000000000001E-2</v>
      </c>
      <c r="E48" s="210">
        <v>1409</v>
      </c>
      <c r="F48" s="13">
        <v>0.30990000000000001</v>
      </c>
      <c r="G48" s="13">
        <v>1.5391999999999999</v>
      </c>
    </row>
    <row r="49" spans="1:7">
      <c r="A49" t="s">
        <v>458</v>
      </c>
      <c r="B49" s="12">
        <v>40422</v>
      </c>
      <c r="C49">
        <v>0</v>
      </c>
      <c r="D49" s="13">
        <v>8.8800000000000004E-2</v>
      </c>
      <c r="E49" s="210">
        <v>1375.33</v>
      </c>
      <c r="F49" s="13">
        <v>0.81710000000000005</v>
      </c>
      <c r="G49" s="13">
        <v>1.6168</v>
      </c>
    </row>
    <row r="50" spans="1:7">
      <c r="A50" t="s">
        <v>458</v>
      </c>
      <c r="B50" s="12">
        <v>40452</v>
      </c>
      <c r="C50">
        <v>0</v>
      </c>
      <c r="D50" s="13">
        <v>1.1599999999999999E-2</v>
      </c>
      <c r="E50" s="210">
        <v>1497.46</v>
      </c>
      <c r="F50" s="13">
        <v>0.94020000000000004</v>
      </c>
      <c r="G50" s="13">
        <v>1.7341</v>
      </c>
    </row>
    <row r="51" spans="1:7">
      <c r="A51" t="s">
        <v>458</v>
      </c>
      <c r="B51" s="12">
        <v>40483</v>
      </c>
      <c r="C51">
        <v>0</v>
      </c>
      <c r="D51" s="13">
        <v>5.9299999999999999E-2</v>
      </c>
      <c r="E51" s="210">
        <v>1514.83</v>
      </c>
      <c r="F51" s="13">
        <v>0.70799999999999996</v>
      </c>
      <c r="G51" s="13">
        <v>1.3951</v>
      </c>
    </row>
    <row r="52" spans="1:7">
      <c r="A52" t="s">
        <v>459</v>
      </c>
      <c r="B52" s="12">
        <v>38991</v>
      </c>
      <c r="C52">
        <v>0</v>
      </c>
      <c r="D52" s="13">
        <v>8.6E-3</v>
      </c>
      <c r="E52" s="210">
        <v>1000</v>
      </c>
      <c r="F52" s="14">
        <v>0</v>
      </c>
      <c r="G52" s="14">
        <v>0</v>
      </c>
    </row>
    <row r="53" spans="1:7">
      <c r="A53" t="s">
        <v>459</v>
      </c>
      <c r="B53" s="12">
        <v>39022</v>
      </c>
      <c r="C53">
        <v>0</v>
      </c>
      <c r="D53" s="13">
        <v>7.9000000000000008E-3</v>
      </c>
      <c r="E53" s="210">
        <v>1008.6</v>
      </c>
      <c r="F53" s="14">
        <v>0</v>
      </c>
      <c r="G53" s="14">
        <v>0</v>
      </c>
    </row>
    <row r="54" spans="1:7">
      <c r="A54" t="s">
        <v>459</v>
      </c>
      <c r="B54" s="12">
        <v>39052</v>
      </c>
      <c r="C54">
        <v>0</v>
      </c>
      <c r="D54" s="13">
        <v>1.7600000000000001E-2</v>
      </c>
      <c r="E54" s="210">
        <v>1016.56</v>
      </c>
      <c r="F54" s="14">
        <v>0</v>
      </c>
      <c r="G54" s="14">
        <v>0</v>
      </c>
    </row>
    <row r="55" spans="1:7">
      <c r="A55" t="s">
        <v>459</v>
      </c>
      <c r="B55" s="12">
        <v>39083</v>
      </c>
      <c r="C55">
        <v>0</v>
      </c>
      <c r="D55" s="13">
        <v>5.9999999999999995E-4</v>
      </c>
      <c r="E55" s="210">
        <v>1034.45</v>
      </c>
      <c r="F55" s="14">
        <v>0</v>
      </c>
      <c r="G55" s="14">
        <v>0</v>
      </c>
    </row>
    <row r="56" spans="1:7">
      <c r="A56" t="s">
        <v>459</v>
      </c>
      <c r="B56" s="12">
        <v>39114</v>
      </c>
      <c r="C56">
        <v>0</v>
      </c>
      <c r="D56" s="13">
        <v>2.1000000000000001E-2</v>
      </c>
      <c r="E56" s="210">
        <v>1033.83</v>
      </c>
      <c r="F56" s="14">
        <v>0</v>
      </c>
      <c r="G56" s="14">
        <v>0</v>
      </c>
    </row>
    <row r="57" spans="1:7">
      <c r="A57" t="s">
        <v>459</v>
      </c>
      <c r="B57" s="12">
        <v>39142</v>
      </c>
      <c r="C57">
        <v>0</v>
      </c>
      <c r="D57" s="13">
        <v>1.7500000000000002E-2</v>
      </c>
      <c r="E57" s="210">
        <v>1012.12</v>
      </c>
      <c r="F57" s="14">
        <v>0</v>
      </c>
      <c r="G57" s="14">
        <v>0</v>
      </c>
    </row>
    <row r="58" spans="1:7">
      <c r="A58" t="s">
        <v>459</v>
      </c>
      <c r="B58" s="12">
        <v>39173</v>
      </c>
      <c r="C58">
        <v>0</v>
      </c>
      <c r="D58" s="13">
        <v>1.66E-2</v>
      </c>
      <c r="E58" s="210">
        <v>994.41</v>
      </c>
      <c r="F58" s="14">
        <v>0</v>
      </c>
      <c r="G58" s="14">
        <v>0</v>
      </c>
    </row>
    <row r="59" spans="1:7">
      <c r="A59" t="s">
        <v>459</v>
      </c>
      <c r="B59" s="12">
        <v>39203</v>
      </c>
      <c r="C59">
        <v>0</v>
      </c>
      <c r="D59" s="13">
        <v>4.3400000000000001E-2</v>
      </c>
      <c r="E59" s="210">
        <v>1010.92</v>
      </c>
      <c r="F59" s="14">
        <v>0</v>
      </c>
      <c r="G59" s="14">
        <v>0</v>
      </c>
    </row>
    <row r="60" spans="1:7">
      <c r="A60" t="s">
        <v>459</v>
      </c>
      <c r="B60" s="12">
        <v>39234</v>
      </c>
      <c r="C60">
        <v>0</v>
      </c>
      <c r="D60" s="13">
        <v>3.85E-2</v>
      </c>
      <c r="E60" s="210">
        <v>1054.79</v>
      </c>
      <c r="F60" s="14">
        <v>0</v>
      </c>
      <c r="G60" s="14">
        <v>0</v>
      </c>
    </row>
    <row r="61" spans="1:7">
      <c r="A61" t="s">
        <v>459</v>
      </c>
      <c r="B61" s="12">
        <v>39264</v>
      </c>
      <c r="C61">
        <v>0</v>
      </c>
      <c r="D61" s="13">
        <v>6.8599999999999994E-2</v>
      </c>
      <c r="E61" s="210">
        <v>1014.18</v>
      </c>
      <c r="F61" s="14">
        <v>0</v>
      </c>
      <c r="G61" s="14">
        <v>0</v>
      </c>
    </row>
    <row r="62" spans="1:7">
      <c r="A62" t="s">
        <v>459</v>
      </c>
      <c r="B62" s="12">
        <v>39295</v>
      </c>
      <c r="C62">
        <v>0</v>
      </c>
      <c r="D62" s="13">
        <v>1.83E-2</v>
      </c>
      <c r="E62" s="210">
        <v>944.61</v>
      </c>
      <c r="F62" s="14">
        <v>0</v>
      </c>
      <c r="G62" s="14">
        <v>0</v>
      </c>
    </row>
    <row r="63" spans="1:7">
      <c r="A63" t="s">
        <v>459</v>
      </c>
      <c r="B63" s="12">
        <v>39326</v>
      </c>
      <c r="C63">
        <v>0</v>
      </c>
      <c r="D63" s="13">
        <v>2.0400000000000001E-2</v>
      </c>
      <c r="E63" s="210">
        <v>961.9</v>
      </c>
      <c r="F63" s="14">
        <v>0</v>
      </c>
      <c r="G63" s="14">
        <v>0</v>
      </c>
    </row>
    <row r="64" spans="1:7">
      <c r="A64" t="s">
        <v>459</v>
      </c>
      <c r="B64" s="12">
        <v>39356</v>
      </c>
      <c r="C64">
        <v>0</v>
      </c>
      <c r="D64" s="13">
        <v>5.7999999999999996E-3</v>
      </c>
      <c r="E64" s="210">
        <v>981.52</v>
      </c>
      <c r="F64" s="14">
        <v>0</v>
      </c>
      <c r="G64" s="14">
        <v>0</v>
      </c>
    </row>
    <row r="65" spans="1:7">
      <c r="A65" t="s">
        <v>459</v>
      </c>
      <c r="B65" s="12">
        <v>39387</v>
      </c>
      <c r="C65">
        <v>0</v>
      </c>
      <c r="D65" s="13">
        <v>3.5200000000000002E-2</v>
      </c>
      <c r="E65" s="210">
        <v>987.21</v>
      </c>
      <c r="F65" s="14">
        <v>0</v>
      </c>
      <c r="G65" s="14">
        <v>0</v>
      </c>
    </row>
    <row r="66" spans="1:7">
      <c r="A66" t="s">
        <v>459</v>
      </c>
      <c r="B66" s="12">
        <v>39417</v>
      </c>
      <c r="C66">
        <v>0</v>
      </c>
      <c r="D66" s="13">
        <v>2.6100000000000002E-2</v>
      </c>
      <c r="E66" s="210">
        <v>952.46</v>
      </c>
      <c r="F66" s="14">
        <v>0</v>
      </c>
      <c r="G66" s="14">
        <v>0</v>
      </c>
    </row>
    <row r="67" spans="1:7">
      <c r="A67" t="s">
        <v>459</v>
      </c>
      <c r="B67" s="12">
        <v>39448</v>
      </c>
      <c r="C67">
        <v>0</v>
      </c>
      <c r="D67" s="13">
        <v>1.6299999999999999E-2</v>
      </c>
      <c r="E67" s="210">
        <v>927.6</v>
      </c>
      <c r="F67" s="14">
        <v>0</v>
      </c>
      <c r="G67" s="14">
        <v>0</v>
      </c>
    </row>
    <row r="68" spans="1:7">
      <c r="A68" t="s">
        <v>459</v>
      </c>
      <c r="B68" s="12">
        <v>39479</v>
      </c>
      <c r="C68">
        <v>0</v>
      </c>
      <c r="D68" s="13">
        <v>8.2299999999999998E-2</v>
      </c>
      <c r="E68" s="210">
        <v>912.48</v>
      </c>
      <c r="F68" s="14">
        <v>0</v>
      </c>
      <c r="G68" s="14">
        <v>0</v>
      </c>
    </row>
    <row r="69" spans="1:7">
      <c r="A69" t="s">
        <v>459</v>
      </c>
      <c r="B69" s="12">
        <v>39508</v>
      </c>
      <c r="C69">
        <v>0</v>
      </c>
      <c r="D69" s="13">
        <v>6.7000000000000002E-3</v>
      </c>
      <c r="E69" s="210">
        <v>837.38</v>
      </c>
      <c r="F69" s="14">
        <v>0</v>
      </c>
      <c r="G69" s="14">
        <v>0</v>
      </c>
    </row>
    <row r="70" spans="1:7">
      <c r="A70" t="s">
        <v>459</v>
      </c>
      <c r="B70" s="12">
        <v>39539</v>
      </c>
      <c r="C70">
        <v>0</v>
      </c>
      <c r="D70" s="13">
        <v>3.27E-2</v>
      </c>
      <c r="E70" s="210">
        <v>831.77</v>
      </c>
      <c r="F70" s="14">
        <v>0</v>
      </c>
      <c r="G70" s="14">
        <v>0</v>
      </c>
    </row>
    <row r="71" spans="1:7">
      <c r="A71" t="s">
        <v>459</v>
      </c>
      <c r="B71" s="12">
        <v>39569</v>
      </c>
      <c r="C71">
        <v>0</v>
      </c>
      <c r="D71" s="13">
        <v>1.2E-2</v>
      </c>
      <c r="E71" s="210">
        <v>858.97</v>
      </c>
      <c r="F71" s="14">
        <v>0</v>
      </c>
      <c r="G71" s="14">
        <v>0</v>
      </c>
    </row>
    <row r="72" spans="1:7">
      <c r="A72" t="s">
        <v>459</v>
      </c>
      <c r="B72" s="12">
        <v>39600</v>
      </c>
      <c r="C72">
        <v>0</v>
      </c>
      <c r="D72" s="13">
        <v>0.14299999999999999</v>
      </c>
      <c r="E72" s="210">
        <v>848.67</v>
      </c>
      <c r="F72" s="14">
        <v>0</v>
      </c>
      <c r="G72" s="14">
        <v>0</v>
      </c>
    </row>
    <row r="73" spans="1:7">
      <c r="A73" t="s">
        <v>459</v>
      </c>
      <c r="B73" s="12">
        <v>39630</v>
      </c>
      <c r="C73">
        <v>0</v>
      </c>
      <c r="D73" s="13">
        <v>9.0899999999999995E-2</v>
      </c>
      <c r="E73" s="210">
        <v>727.31</v>
      </c>
      <c r="F73" s="14">
        <v>0</v>
      </c>
      <c r="G73" s="14">
        <v>0</v>
      </c>
    </row>
    <row r="74" spans="1:7">
      <c r="A74" t="s">
        <v>459</v>
      </c>
      <c r="B74" s="12">
        <v>39661</v>
      </c>
      <c r="C74">
        <v>0</v>
      </c>
      <c r="D74" s="13">
        <v>4.1500000000000002E-2</v>
      </c>
      <c r="E74" s="210">
        <v>793.42</v>
      </c>
      <c r="F74" s="14">
        <v>0</v>
      </c>
      <c r="G74" s="14">
        <v>0</v>
      </c>
    </row>
    <row r="75" spans="1:7">
      <c r="A75" t="s">
        <v>459</v>
      </c>
      <c r="B75" s="12">
        <v>39692</v>
      </c>
      <c r="C75">
        <v>0</v>
      </c>
      <c r="D75" s="13">
        <v>1.1999999999999999E-3</v>
      </c>
      <c r="E75" s="210">
        <v>826.35</v>
      </c>
      <c r="F75" s="14">
        <v>0</v>
      </c>
      <c r="G75" s="14">
        <v>0</v>
      </c>
    </row>
    <row r="76" spans="1:7">
      <c r="A76" t="s">
        <v>459</v>
      </c>
      <c r="B76" s="12">
        <v>39722</v>
      </c>
      <c r="C76">
        <v>0</v>
      </c>
      <c r="D76" s="13">
        <v>0.13089999999999999</v>
      </c>
      <c r="E76" s="210">
        <v>825.35</v>
      </c>
      <c r="F76" s="14">
        <v>0</v>
      </c>
      <c r="G76" s="14">
        <v>0</v>
      </c>
    </row>
    <row r="77" spans="1:7">
      <c r="A77" t="s">
        <v>459</v>
      </c>
      <c r="B77" s="12">
        <v>39753</v>
      </c>
      <c r="C77">
        <v>0</v>
      </c>
      <c r="D77" s="13">
        <v>0.1027</v>
      </c>
      <c r="E77" s="210">
        <v>717.31</v>
      </c>
      <c r="F77" s="14">
        <v>0</v>
      </c>
      <c r="G77" s="14">
        <v>0</v>
      </c>
    </row>
    <row r="78" spans="1:7">
      <c r="A78" t="s">
        <v>459</v>
      </c>
      <c r="B78" s="12">
        <v>39783</v>
      </c>
      <c r="C78">
        <v>0</v>
      </c>
      <c r="D78" s="13">
        <v>6.0000000000000001E-3</v>
      </c>
      <c r="E78" s="210">
        <v>643.65</v>
      </c>
      <c r="F78" s="14">
        <v>0</v>
      </c>
      <c r="G78" s="14">
        <v>0</v>
      </c>
    </row>
    <row r="79" spans="1:7">
      <c r="A79" t="s">
        <v>459</v>
      </c>
      <c r="B79" s="12">
        <v>39814</v>
      </c>
      <c r="C79">
        <v>0</v>
      </c>
      <c r="D79" s="13">
        <v>0.20580000000000001</v>
      </c>
      <c r="E79" s="210">
        <v>639.78</v>
      </c>
      <c r="F79" s="14">
        <v>0</v>
      </c>
      <c r="G79" s="14">
        <v>0</v>
      </c>
    </row>
    <row r="80" spans="1:7">
      <c r="A80" t="s">
        <v>459</v>
      </c>
      <c r="B80" s="12">
        <v>39845</v>
      </c>
      <c r="C80">
        <v>0</v>
      </c>
      <c r="D80" s="13">
        <v>8.7300000000000003E-2</v>
      </c>
      <c r="E80" s="210">
        <v>508.11</v>
      </c>
      <c r="F80" s="14">
        <v>0</v>
      </c>
      <c r="G80" s="14">
        <v>0</v>
      </c>
    </row>
    <row r="81" spans="1:7">
      <c r="A81" t="s">
        <v>459</v>
      </c>
      <c r="B81" s="12">
        <v>39873</v>
      </c>
      <c r="C81">
        <v>0</v>
      </c>
      <c r="D81" s="13">
        <v>0.12870000000000001</v>
      </c>
      <c r="E81" s="210">
        <v>463.76</v>
      </c>
      <c r="F81" s="14">
        <v>0</v>
      </c>
      <c r="G81" s="14">
        <v>0</v>
      </c>
    </row>
    <row r="82" spans="1:7">
      <c r="A82" t="s">
        <v>459</v>
      </c>
      <c r="B82" s="12">
        <v>39904</v>
      </c>
      <c r="C82">
        <v>0</v>
      </c>
      <c r="D82" s="13">
        <v>6.54E-2</v>
      </c>
      <c r="E82" s="210">
        <v>523.44000000000005</v>
      </c>
      <c r="F82" s="14">
        <v>0</v>
      </c>
      <c r="G82" s="14">
        <v>0</v>
      </c>
    </row>
    <row r="83" spans="1:7">
      <c r="A83" t="s">
        <v>459</v>
      </c>
      <c r="B83" s="12">
        <v>39934</v>
      </c>
      <c r="C83">
        <v>0</v>
      </c>
      <c r="D83" s="13">
        <v>5.4600000000000003E-2</v>
      </c>
      <c r="E83" s="210">
        <v>557.67999999999995</v>
      </c>
      <c r="F83" s="14">
        <v>0</v>
      </c>
      <c r="G83" s="14">
        <v>0</v>
      </c>
    </row>
    <row r="84" spans="1:7">
      <c r="A84" t="s">
        <v>459</v>
      </c>
      <c r="B84" s="12">
        <v>39965</v>
      </c>
      <c r="C84">
        <v>0</v>
      </c>
      <c r="D84" s="13">
        <v>1.8200000000000001E-2</v>
      </c>
      <c r="E84" s="210">
        <v>588.12</v>
      </c>
      <c r="F84" s="14">
        <v>0</v>
      </c>
      <c r="G84" s="14">
        <v>0</v>
      </c>
    </row>
    <row r="85" spans="1:7">
      <c r="A85" t="s">
        <v>459</v>
      </c>
      <c r="B85" s="12">
        <v>39995</v>
      </c>
      <c r="C85">
        <v>0</v>
      </c>
      <c r="D85" s="13">
        <v>6.2600000000000003E-2</v>
      </c>
      <c r="E85" s="210">
        <v>577.41999999999996</v>
      </c>
      <c r="F85" s="14">
        <v>0</v>
      </c>
      <c r="G85" s="14">
        <v>0</v>
      </c>
    </row>
    <row r="86" spans="1:7">
      <c r="A86" t="s">
        <v>459</v>
      </c>
      <c r="B86" s="12">
        <v>40026</v>
      </c>
      <c r="C86">
        <v>0</v>
      </c>
      <c r="D86" s="13">
        <v>2.0899999999999998E-2</v>
      </c>
      <c r="E86" s="210">
        <v>613.57000000000005</v>
      </c>
      <c r="F86" s="14">
        <v>0</v>
      </c>
      <c r="G86" s="14">
        <v>0</v>
      </c>
    </row>
    <row r="87" spans="1:7">
      <c r="A87" t="s">
        <v>459</v>
      </c>
      <c r="B87" s="12">
        <v>40057</v>
      </c>
      <c r="C87">
        <v>0</v>
      </c>
      <c r="D87" s="13">
        <v>1.9300000000000001E-2</v>
      </c>
      <c r="E87" s="210">
        <v>626.39</v>
      </c>
      <c r="F87" s="14">
        <v>0</v>
      </c>
      <c r="G87" s="14">
        <v>0</v>
      </c>
    </row>
    <row r="88" spans="1:7">
      <c r="A88" t="s">
        <v>459</v>
      </c>
      <c r="B88" s="12">
        <v>40087</v>
      </c>
      <c r="C88">
        <v>0</v>
      </c>
      <c r="D88" s="13">
        <v>5.3600000000000002E-2</v>
      </c>
      <c r="E88" s="210">
        <v>638.48</v>
      </c>
      <c r="F88" s="14">
        <v>0</v>
      </c>
      <c r="G88" s="14">
        <v>0</v>
      </c>
    </row>
    <row r="89" spans="1:7">
      <c r="A89" t="s">
        <v>459</v>
      </c>
      <c r="B89" s="12">
        <v>40118</v>
      </c>
      <c r="C89">
        <v>0</v>
      </c>
      <c r="D89" s="13">
        <v>3.8399999999999997E-2</v>
      </c>
      <c r="E89" s="210">
        <v>604.26</v>
      </c>
      <c r="F89" s="14">
        <v>0</v>
      </c>
      <c r="G89" s="14">
        <v>0</v>
      </c>
    </row>
    <row r="90" spans="1:7">
      <c r="A90" t="s">
        <v>459</v>
      </c>
      <c r="B90" s="12">
        <v>40148</v>
      </c>
      <c r="C90">
        <v>0</v>
      </c>
      <c r="D90" s="13">
        <v>3.2800000000000003E-2</v>
      </c>
      <c r="E90" s="210">
        <v>627.46</v>
      </c>
      <c r="F90" s="14">
        <v>0</v>
      </c>
      <c r="G90" s="14">
        <v>0</v>
      </c>
    </row>
    <row r="91" spans="1:7">
      <c r="A91" t="s">
        <v>459</v>
      </c>
      <c r="B91" s="12">
        <v>40179</v>
      </c>
      <c r="C91">
        <v>0</v>
      </c>
      <c r="D91" s="13">
        <v>4.0099999999999997E-2</v>
      </c>
      <c r="E91" s="210">
        <v>648.04</v>
      </c>
      <c r="F91" s="14">
        <v>0</v>
      </c>
      <c r="G91" s="14">
        <v>0</v>
      </c>
    </row>
    <row r="92" spans="1:7">
      <c r="A92" t="s">
        <v>459</v>
      </c>
      <c r="B92" s="12">
        <v>40210</v>
      </c>
      <c r="C92">
        <v>0</v>
      </c>
      <c r="D92" s="13">
        <v>5.5800000000000002E-2</v>
      </c>
      <c r="E92" s="210">
        <v>622.05999999999995</v>
      </c>
      <c r="F92" s="14">
        <v>0</v>
      </c>
      <c r="G92" s="14">
        <v>0</v>
      </c>
    </row>
    <row r="93" spans="1:7">
      <c r="A93" t="s">
        <v>459</v>
      </c>
      <c r="B93" s="12">
        <v>40238</v>
      </c>
      <c r="C93">
        <v>0</v>
      </c>
      <c r="D93" s="13">
        <v>6.3399999999999998E-2</v>
      </c>
      <c r="E93" s="210">
        <v>656.77</v>
      </c>
      <c r="F93" s="14">
        <v>0</v>
      </c>
      <c r="G93" s="14">
        <v>0</v>
      </c>
    </row>
    <row r="94" spans="1:7">
      <c r="A94" t="s">
        <v>459</v>
      </c>
      <c r="B94" s="12">
        <v>40269</v>
      </c>
      <c r="C94">
        <v>0</v>
      </c>
      <c r="D94" s="13">
        <v>4.5199999999999997E-2</v>
      </c>
      <c r="E94" s="210">
        <v>698.41</v>
      </c>
      <c r="F94" s="14">
        <v>0</v>
      </c>
      <c r="G94" s="14">
        <v>0</v>
      </c>
    </row>
    <row r="95" spans="1:7">
      <c r="A95" t="s">
        <v>459</v>
      </c>
      <c r="B95" s="12">
        <v>40299</v>
      </c>
      <c r="C95">
        <v>0</v>
      </c>
      <c r="D95" s="13">
        <v>8.8200000000000001E-2</v>
      </c>
      <c r="E95" s="210">
        <v>729.97</v>
      </c>
      <c r="F95" s="14">
        <v>0</v>
      </c>
      <c r="G95" s="14">
        <v>0</v>
      </c>
    </row>
    <row r="96" spans="1:7">
      <c r="A96" t="s">
        <v>459</v>
      </c>
      <c r="B96" s="12">
        <v>40330</v>
      </c>
      <c r="C96">
        <v>0</v>
      </c>
      <c r="D96" s="13">
        <v>7.4499999999999997E-2</v>
      </c>
      <c r="E96" s="210">
        <v>665.59</v>
      </c>
      <c r="F96" s="14">
        <v>0</v>
      </c>
      <c r="G96" s="14">
        <v>0</v>
      </c>
    </row>
    <row r="97" spans="1:7">
      <c r="A97" t="s">
        <v>459</v>
      </c>
      <c r="B97" s="12">
        <v>40360</v>
      </c>
      <c r="C97">
        <v>0</v>
      </c>
      <c r="D97" s="13">
        <v>3.5999999999999997E-2</v>
      </c>
      <c r="E97" s="210">
        <v>616</v>
      </c>
      <c r="F97" s="14">
        <v>0</v>
      </c>
      <c r="G97" s="14">
        <v>0</v>
      </c>
    </row>
    <row r="98" spans="1:7">
      <c r="A98" t="s">
        <v>459</v>
      </c>
      <c r="B98" s="12">
        <v>40391</v>
      </c>
      <c r="C98">
        <v>0</v>
      </c>
      <c r="D98" s="13">
        <v>9.1700000000000004E-2</v>
      </c>
      <c r="E98" s="210">
        <v>638.17999999999995</v>
      </c>
      <c r="F98" s="14">
        <v>0</v>
      </c>
      <c r="G98" s="14">
        <v>0</v>
      </c>
    </row>
    <row r="99" spans="1:7">
      <c r="A99" t="s">
        <v>459</v>
      </c>
      <c r="B99" s="12">
        <v>40422</v>
      </c>
      <c r="C99">
        <v>0</v>
      </c>
      <c r="D99" s="13">
        <v>7.7100000000000002E-2</v>
      </c>
      <c r="E99" s="210">
        <v>579.66</v>
      </c>
      <c r="F99" s="14">
        <v>0</v>
      </c>
      <c r="G99" s="14">
        <v>0</v>
      </c>
    </row>
    <row r="100" spans="1:7">
      <c r="A100" t="s">
        <v>459</v>
      </c>
      <c r="B100" s="12">
        <v>40452</v>
      </c>
      <c r="C100">
        <v>0</v>
      </c>
      <c r="D100" s="13">
        <v>2.98E-2</v>
      </c>
      <c r="E100" s="210">
        <v>624.35</v>
      </c>
      <c r="F100" s="14">
        <v>0</v>
      </c>
      <c r="G100" s="14">
        <v>0</v>
      </c>
    </row>
    <row r="101" spans="1:7">
      <c r="A101" t="s">
        <v>459</v>
      </c>
      <c r="B101" s="12">
        <v>40483</v>
      </c>
      <c r="C101">
        <v>0</v>
      </c>
      <c r="D101" s="13">
        <v>8.2000000000000007E-3</v>
      </c>
      <c r="E101" s="210">
        <v>642.96</v>
      </c>
      <c r="F101" s="14">
        <v>0</v>
      </c>
      <c r="G101" s="14">
        <v>0</v>
      </c>
    </row>
    <row r="102" spans="1:7">
      <c r="A102" t="s">
        <v>123</v>
      </c>
      <c r="B102" s="12">
        <v>38991</v>
      </c>
      <c r="C102">
        <v>0</v>
      </c>
      <c r="D102" s="13">
        <v>7.3499999999999996E-2</v>
      </c>
      <c r="E102" s="210">
        <v>1000</v>
      </c>
      <c r="F102" s="14">
        <v>0</v>
      </c>
      <c r="G102" s="14">
        <v>0</v>
      </c>
    </row>
    <row r="103" spans="1:7">
      <c r="A103" t="s">
        <v>123</v>
      </c>
      <c r="B103" s="12">
        <v>39022</v>
      </c>
      <c r="C103">
        <v>0</v>
      </c>
      <c r="D103" s="13">
        <v>1.8E-3</v>
      </c>
      <c r="E103" s="210">
        <v>926.5</v>
      </c>
      <c r="F103" s="14">
        <v>0</v>
      </c>
      <c r="G103" s="14">
        <v>0</v>
      </c>
    </row>
    <row r="104" spans="1:7">
      <c r="A104" t="s">
        <v>123</v>
      </c>
      <c r="B104" s="12">
        <v>39052</v>
      </c>
      <c r="C104">
        <v>0</v>
      </c>
      <c r="D104" s="13">
        <v>5.96E-2</v>
      </c>
      <c r="E104" s="210">
        <v>924.83</v>
      </c>
      <c r="F104" s="14">
        <v>0</v>
      </c>
      <c r="G104" s="14">
        <v>0</v>
      </c>
    </row>
    <row r="105" spans="1:7">
      <c r="A105" t="s">
        <v>123</v>
      </c>
      <c r="B105" s="12">
        <v>39083</v>
      </c>
      <c r="C105">
        <v>0</v>
      </c>
      <c r="D105" s="13">
        <v>9.8599999999999993E-2</v>
      </c>
      <c r="E105" s="210">
        <v>979.95</v>
      </c>
      <c r="F105" s="14">
        <v>0</v>
      </c>
      <c r="G105" s="14">
        <v>0</v>
      </c>
    </row>
    <row r="106" spans="1:7">
      <c r="A106" t="s">
        <v>123</v>
      </c>
      <c r="B106" s="12">
        <v>39114</v>
      </c>
      <c r="C106">
        <v>0</v>
      </c>
      <c r="D106" s="13">
        <v>0.7742</v>
      </c>
      <c r="E106" s="210">
        <v>883.32</v>
      </c>
      <c r="F106" s="14">
        <v>0</v>
      </c>
      <c r="G106" s="14">
        <v>0</v>
      </c>
    </row>
    <row r="107" spans="1:7">
      <c r="A107" t="s">
        <v>123</v>
      </c>
      <c r="B107" s="12">
        <v>39142</v>
      </c>
      <c r="C107">
        <v>0</v>
      </c>
      <c r="D107" s="13">
        <v>5.0599999999999999E-2</v>
      </c>
      <c r="E107" s="210">
        <v>1567.2</v>
      </c>
      <c r="F107" s="14">
        <v>0</v>
      </c>
      <c r="G107" s="14">
        <v>0</v>
      </c>
    </row>
    <row r="108" spans="1:7">
      <c r="A108" t="s">
        <v>123</v>
      </c>
      <c r="B108" s="12">
        <v>39173</v>
      </c>
      <c r="C108">
        <v>0</v>
      </c>
      <c r="D108" s="13">
        <v>2.87E-2</v>
      </c>
      <c r="E108" s="210">
        <v>1487.9</v>
      </c>
      <c r="F108" s="14">
        <v>0</v>
      </c>
      <c r="G108" s="14">
        <v>0</v>
      </c>
    </row>
    <row r="109" spans="1:7">
      <c r="A109" t="s">
        <v>123</v>
      </c>
      <c r="B109" s="12">
        <v>39203</v>
      </c>
      <c r="C109">
        <v>0</v>
      </c>
      <c r="D109" s="13">
        <v>8.2299999999999998E-2</v>
      </c>
      <c r="E109" s="210">
        <v>1445.19</v>
      </c>
      <c r="F109" s="14">
        <v>0</v>
      </c>
      <c r="G109" s="14">
        <v>0</v>
      </c>
    </row>
    <row r="110" spans="1:7">
      <c r="A110" t="s">
        <v>123</v>
      </c>
      <c r="B110" s="12">
        <v>39234</v>
      </c>
      <c r="C110">
        <v>0</v>
      </c>
      <c r="D110" s="13">
        <v>0.2437</v>
      </c>
      <c r="E110" s="210">
        <v>1326.25</v>
      </c>
      <c r="F110" s="14">
        <v>0</v>
      </c>
      <c r="G110" s="14">
        <v>0</v>
      </c>
    </row>
    <row r="111" spans="1:7">
      <c r="A111" t="s">
        <v>123</v>
      </c>
      <c r="B111" s="12">
        <v>39264</v>
      </c>
      <c r="C111">
        <v>0</v>
      </c>
      <c r="D111" s="13">
        <v>0.44919999999999999</v>
      </c>
      <c r="E111" s="210">
        <v>1649.46</v>
      </c>
      <c r="F111" s="14">
        <v>0</v>
      </c>
      <c r="G111" s="14">
        <v>0</v>
      </c>
    </row>
    <row r="112" spans="1:7">
      <c r="A112" t="s">
        <v>123</v>
      </c>
      <c r="B112" s="12">
        <v>39295</v>
      </c>
      <c r="C112">
        <v>0</v>
      </c>
      <c r="D112" s="13">
        <v>6.0000000000000001E-3</v>
      </c>
      <c r="E112" s="210">
        <v>2390.4</v>
      </c>
      <c r="F112" s="14">
        <v>0</v>
      </c>
      <c r="G112" s="14">
        <v>0</v>
      </c>
    </row>
    <row r="113" spans="1:7">
      <c r="A113" t="s">
        <v>123</v>
      </c>
      <c r="B113" s="12">
        <v>39326</v>
      </c>
      <c r="C113">
        <v>0</v>
      </c>
      <c r="D113" s="13">
        <v>0.2301</v>
      </c>
      <c r="E113" s="210">
        <v>2376.06</v>
      </c>
      <c r="F113" s="14">
        <v>0</v>
      </c>
      <c r="G113" s="14">
        <v>0</v>
      </c>
    </row>
    <row r="114" spans="1:7">
      <c r="A114" t="s">
        <v>123</v>
      </c>
      <c r="B114" s="12">
        <v>39356</v>
      </c>
      <c r="C114">
        <v>0</v>
      </c>
      <c r="D114" s="13">
        <v>2.9399999999999999E-2</v>
      </c>
      <c r="E114" s="210">
        <v>1829.33</v>
      </c>
      <c r="F114" s="14">
        <v>0</v>
      </c>
      <c r="G114" s="14">
        <v>0</v>
      </c>
    </row>
    <row r="115" spans="1:7">
      <c r="A115" t="s">
        <v>123</v>
      </c>
      <c r="B115" s="12">
        <v>39387</v>
      </c>
      <c r="C115">
        <v>0</v>
      </c>
      <c r="D115" s="13">
        <v>0.23419999999999999</v>
      </c>
      <c r="E115" s="210">
        <v>1883.11</v>
      </c>
      <c r="F115" s="14">
        <v>0</v>
      </c>
      <c r="G115" s="14">
        <v>0</v>
      </c>
    </row>
    <row r="116" spans="1:7">
      <c r="A116" t="s">
        <v>123</v>
      </c>
      <c r="B116" s="12">
        <v>39417</v>
      </c>
      <c r="C116">
        <v>0</v>
      </c>
      <c r="D116" s="13">
        <v>1.6199999999999999E-2</v>
      </c>
      <c r="E116" s="210">
        <v>2324.14</v>
      </c>
      <c r="F116" s="14">
        <v>0</v>
      </c>
      <c r="G116" s="14">
        <v>0</v>
      </c>
    </row>
    <row r="117" spans="1:7">
      <c r="A117" t="s">
        <v>123</v>
      </c>
      <c r="B117" s="12">
        <v>39448</v>
      </c>
      <c r="C117">
        <v>0</v>
      </c>
      <c r="D117" s="13">
        <v>0.16439999999999999</v>
      </c>
      <c r="E117" s="210">
        <v>2286.4899999999998</v>
      </c>
      <c r="F117" s="14">
        <v>0</v>
      </c>
      <c r="G117" s="14">
        <v>0</v>
      </c>
    </row>
    <row r="118" spans="1:7">
      <c r="A118" t="s">
        <v>123</v>
      </c>
      <c r="B118" s="12">
        <v>39479</v>
      </c>
      <c r="C118">
        <v>0</v>
      </c>
      <c r="D118" s="13">
        <v>1.2999999999999999E-2</v>
      </c>
      <c r="E118" s="210">
        <v>2662.39</v>
      </c>
      <c r="F118" s="14">
        <v>0</v>
      </c>
      <c r="G118" s="14">
        <v>0</v>
      </c>
    </row>
    <row r="119" spans="1:7">
      <c r="A119" t="s">
        <v>123</v>
      </c>
      <c r="B119" s="12">
        <v>39508</v>
      </c>
      <c r="C119">
        <v>0</v>
      </c>
      <c r="D119" s="13">
        <v>3.5000000000000003E-2</v>
      </c>
      <c r="E119" s="210">
        <v>2697</v>
      </c>
      <c r="F119" s="14">
        <v>0</v>
      </c>
      <c r="G119" s="14">
        <v>0</v>
      </c>
    </row>
    <row r="120" spans="1:7">
      <c r="A120" t="s">
        <v>123</v>
      </c>
      <c r="B120" s="12">
        <v>39539</v>
      </c>
      <c r="C120">
        <v>0</v>
      </c>
      <c r="D120" s="13">
        <v>0.18820000000000001</v>
      </c>
      <c r="E120" s="210">
        <v>2602.6</v>
      </c>
      <c r="F120" s="14">
        <v>0</v>
      </c>
      <c r="G120" s="14">
        <v>0</v>
      </c>
    </row>
    <row r="121" spans="1:7">
      <c r="A121" t="s">
        <v>123</v>
      </c>
      <c r="B121" s="12">
        <v>39569</v>
      </c>
      <c r="C121">
        <v>0</v>
      </c>
      <c r="D121" s="13">
        <v>0.1424</v>
      </c>
      <c r="E121" s="210">
        <v>2112.79</v>
      </c>
      <c r="F121" s="14">
        <v>0</v>
      </c>
      <c r="G121" s="14">
        <v>0</v>
      </c>
    </row>
    <row r="122" spans="1:7">
      <c r="A122" t="s">
        <v>123</v>
      </c>
      <c r="B122" s="12">
        <v>39600</v>
      </c>
      <c r="C122">
        <v>0</v>
      </c>
      <c r="D122" s="13">
        <v>0.34320000000000001</v>
      </c>
      <c r="E122" s="210">
        <v>1811.93</v>
      </c>
      <c r="F122" s="14">
        <v>0</v>
      </c>
      <c r="G122" s="14">
        <v>0</v>
      </c>
    </row>
    <row r="123" spans="1:7">
      <c r="A123" t="s">
        <v>123</v>
      </c>
      <c r="B123" s="12">
        <v>39630</v>
      </c>
      <c r="C123">
        <v>0</v>
      </c>
      <c r="D123" s="13">
        <v>9.98E-2</v>
      </c>
      <c r="E123" s="210">
        <v>2433.7800000000002</v>
      </c>
      <c r="F123" s="14">
        <v>0</v>
      </c>
      <c r="G123" s="14">
        <v>0</v>
      </c>
    </row>
    <row r="124" spans="1:7">
      <c r="A124" t="s">
        <v>123</v>
      </c>
      <c r="B124" s="12">
        <v>39661</v>
      </c>
      <c r="C124">
        <v>0</v>
      </c>
      <c r="D124" s="13">
        <v>9.98E-2</v>
      </c>
      <c r="E124" s="210">
        <v>2190.89</v>
      </c>
      <c r="F124" s="14">
        <v>0</v>
      </c>
      <c r="G124" s="14">
        <v>0</v>
      </c>
    </row>
    <row r="125" spans="1:7">
      <c r="A125" t="s">
        <v>123</v>
      </c>
      <c r="B125" s="12">
        <v>39692</v>
      </c>
      <c r="C125">
        <v>0</v>
      </c>
      <c r="D125" s="13">
        <v>0.90649999999999997</v>
      </c>
      <c r="E125" s="210">
        <v>1972.24</v>
      </c>
      <c r="F125" s="14">
        <v>0</v>
      </c>
      <c r="G125" s="14">
        <v>0</v>
      </c>
    </row>
    <row r="126" spans="1:7">
      <c r="A126" t="s">
        <v>123</v>
      </c>
      <c r="B126" s="12">
        <v>39722</v>
      </c>
      <c r="C126">
        <v>0</v>
      </c>
      <c r="D126" s="13">
        <v>0.52039999999999997</v>
      </c>
      <c r="E126" s="210">
        <v>3760.08</v>
      </c>
      <c r="F126" s="14">
        <v>0</v>
      </c>
      <c r="G126" s="14">
        <v>0</v>
      </c>
    </row>
    <row r="127" spans="1:7">
      <c r="A127" t="s">
        <v>123</v>
      </c>
      <c r="B127" s="12">
        <v>39753</v>
      </c>
      <c r="C127">
        <v>0</v>
      </c>
      <c r="D127" s="13">
        <v>7.6999999999999999E-2</v>
      </c>
      <c r="E127" s="210">
        <v>5716.83</v>
      </c>
      <c r="F127" s="14">
        <v>0</v>
      </c>
      <c r="G127" s="14">
        <v>0</v>
      </c>
    </row>
    <row r="128" spans="1:7">
      <c r="A128" t="s">
        <v>123</v>
      </c>
      <c r="B128" s="12">
        <v>39783</v>
      </c>
      <c r="C128">
        <v>0</v>
      </c>
      <c r="D128" s="13">
        <v>0.27639999999999998</v>
      </c>
      <c r="E128" s="210">
        <v>5276.63</v>
      </c>
      <c r="F128" s="14">
        <v>0</v>
      </c>
      <c r="G128" s="14">
        <v>0</v>
      </c>
    </row>
    <row r="129" spans="1:7">
      <c r="A129" t="s">
        <v>123</v>
      </c>
      <c r="B129" s="12">
        <v>39814</v>
      </c>
      <c r="C129">
        <v>0</v>
      </c>
      <c r="D129" s="13">
        <v>0.121</v>
      </c>
      <c r="E129" s="210">
        <v>3818.17</v>
      </c>
      <c r="F129" s="14">
        <v>0</v>
      </c>
      <c r="G129" s="14">
        <v>0</v>
      </c>
    </row>
    <row r="130" spans="1:7">
      <c r="A130" t="s">
        <v>123</v>
      </c>
      <c r="B130" s="12">
        <v>39845</v>
      </c>
      <c r="C130">
        <v>0</v>
      </c>
      <c r="D130" s="13">
        <v>3.3700000000000001E-2</v>
      </c>
      <c r="E130" s="210">
        <v>4280.17</v>
      </c>
      <c r="F130" s="14">
        <v>0</v>
      </c>
      <c r="G130" s="14">
        <v>0</v>
      </c>
    </row>
    <row r="131" spans="1:7">
      <c r="A131" t="s">
        <v>123</v>
      </c>
      <c r="B131" s="12">
        <v>39873</v>
      </c>
      <c r="C131">
        <v>0</v>
      </c>
      <c r="D131" s="13">
        <v>4.7699999999999999E-2</v>
      </c>
      <c r="E131" s="210">
        <v>4424.41</v>
      </c>
      <c r="F131" s="14">
        <v>0</v>
      </c>
      <c r="G131" s="14">
        <v>0</v>
      </c>
    </row>
    <row r="132" spans="1:7">
      <c r="A132" t="s">
        <v>123</v>
      </c>
      <c r="B132" s="12">
        <v>39904</v>
      </c>
      <c r="C132">
        <v>0</v>
      </c>
      <c r="D132" s="13">
        <v>0.1731</v>
      </c>
      <c r="E132" s="210">
        <v>4213.37</v>
      </c>
      <c r="F132" s="14">
        <v>0</v>
      </c>
      <c r="G132" s="14">
        <v>0</v>
      </c>
    </row>
    <row r="133" spans="1:7">
      <c r="A133" t="s">
        <v>123</v>
      </c>
      <c r="B133" s="12">
        <v>39934</v>
      </c>
      <c r="C133">
        <v>0</v>
      </c>
      <c r="D133" s="13">
        <v>0.2077</v>
      </c>
      <c r="E133" s="210">
        <v>3484.03</v>
      </c>
      <c r="F133" s="14">
        <v>0</v>
      </c>
      <c r="G133" s="14">
        <v>0</v>
      </c>
    </row>
    <row r="134" spans="1:7">
      <c r="A134" t="s">
        <v>123</v>
      </c>
      <c r="B134" s="12">
        <v>39965</v>
      </c>
      <c r="C134">
        <v>0</v>
      </c>
      <c r="D134" s="13">
        <v>8.8900000000000007E-2</v>
      </c>
      <c r="E134" s="210">
        <v>2760.4</v>
      </c>
      <c r="F134" s="14">
        <v>0</v>
      </c>
      <c r="G134" s="14">
        <v>0</v>
      </c>
    </row>
    <row r="135" spans="1:7">
      <c r="A135" t="s">
        <v>123</v>
      </c>
      <c r="B135" s="12">
        <v>39995</v>
      </c>
      <c r="C135">
        <v>0</v>
      </c>
      <c r="D135" s="13">
        <v>1.6299999999999999E-2</v>
      </c>
      <c r="E135" s="210">
        <v>2515</v>
      </c>
      <c r="F135" s="14">
        <v>0</v>
      </c>
      <c r="G135" s="14">
        <v>0</v>
      </c>
    </row>
    <row r="136" spans="1:7">
      <c r="A136" t="s">
        <v>123</v>
      </c>
      <c r="B136" s="12">
        <v>40026</v>
      </c>
      <c r="C136">
        <v>0</v>
      </c>
      <c r="D136" s="13">
        <v>3.5000000000000001E-3</v>
      </c>
      <c r="E136" s="210">
        <v>2474</v>
      </c>
      <c r="F136" s="14">
        <v>0</v>
      </c>
      <c r="G136" s="14">
        <v>0</v>
      </c>
    </row>
    <row r="137" spans="1:7">
      <c r="A137" t="s">
        <v>123</v>
      </c>
      <c r="B137" s="12">
        <v>40057</v>
      </c>
      <c r="C137">
        <v>0</v>
      </c>
      <c r="D137" s="13">
        <v>1.54E-2</v>
      </c>
      <c r="E137" s="210">
        <v>2482.66</v>
      </c>
      <c r="F137" s="14">
        <v>0</v>
      </c>
      <c r="G137" s="14">
        <v>0</v>
      </c>
    </row>
    <row r="138" spans="1:7">
      <c r="A138" t="s">
        <v>123</v>
      </c>
      <c r="B138" s="12">
        <v>40087</v>
      </c>
      <c r="C138">
        <v>0</v>
      </c>
      <c r="D138" s="13">
        <v>0.19839999999999999</v>
      </c>
      <c r="E138" s="210">
        <v>2444.4299999999998</v>
      </c>
      <c r="F138" s="14">
        <v>0</v>
      </c>
      <c r="G138" s="14">
        <v>0</v>
      </c>
    </row>
    <row r="139" spans="1:7">
      <c r="A139" t="s">
        <v>123</v>
      </c>
      <c r="B139" s="12">
        <v>40118</v>
      </c>
      <c r="C139">
        <v>0</v>
      </c>
      <c r="D139" s="13">
        <v>0.2014</v>
      </c>
      <c r="E139" s="210">
        <v>2929.41</v>
      </c>
      <c r="F139" s="14">
        <v>0</v>
      </c>
      <c r="G139" s="14">
        <v>0</v>
      </c>
    </row>
    <row r="140" spans="1:7">
      <c r="A140" t="s">
        <v>123</v>
      </c>
      <c r="B140" s="12">
        <v>40148</v>
      </c>
      <c r="C140">
        <v>0</v>
      </c>
      <c r="D140" s="13">
        <v>0.11550000000000001</v>
      </c>
      <c r="E140" s="210">
        <v>2339.42</v>
      </c>
      <c r="F140" s="14">
        <v>0</v>
      </c>
      <c r="G140" s="14">
        <v>0</v>
      </c>
    </row>
    <row r="141" spans="1:7">
      <c r="A141" t="s">
        <v>123</v>
      </c>
      <c r="B141" s="12">
        <v>40179</v>
      </c>
      <c r="C141">
        <v>0</v>
      </c>
      <c r="D141" s="13">
        <v>0.1356</v>
      </c>
      <c r="E141" s="210">
        <v>2069.2199999999998</v>
      </c>
      <c r="F141" s="14">
        <v>0</v>
      </c>
      <c r="G141" s="14">
        <v>0</v>
      </c>
    </row>
    <row r="142" spans="1:7">
      <c r="A142" t="s">
        <v>123</v>
      </c>
      <c r="B142" s="12">
        <v>40210</v>
      </c>
      <c r="C142">
        <v>0</v>
      </c>
      <c r="D142" s="13">
        <v>0.20799999999999999</v>
      </c>
      <c r="E142" s="210">
        <v>2349.81</v>
      </c>
      <c r="F142" s="14">
        <v>0</v>
      </c>
      <c r="G142" s="14">
        <v>0</v>
      </c>
    </row>
    <row r="143" spans="1:7">
      <c r="A143" t="s">
        <v>123</v>
      </c>
      <c r="B143" s="12">
        <v>40238</v>
      </c>
      <c r="C143">
        <v>0</v>
      </c>
      <c r="D143" s="13">
        <v>9.7900000000000001E-2</v>
      </c>
      <c r="E143" s="210">
        <v>1861.04</v>
      </c>
      <c r="F143" s="14">
        <v>0</v>
      </c>
      <c r="G143" s="14">
        <v>0</v>
      </c>
    </row>
    <row r="144" spans="1:7">
      <c r="A144" t="s">
        <v>123</v>
      </c>
      <c r="B144" s="12">
        <v>40269</v>
      </c>
      <c r="C144">
        <v>0</v>
      </c>
      <c r="D144" s="13">
        <v>0.25359999999999999</v>
      </c>
      <c r="E144" s="210">
        <v>1678.85</v>
      </c>
      <c r="F144" s="14">
        <v>0</v>
      </c>
      <c r="G144" s="14">
        <v>0</v>
      </c>
    </row>
    <row r="145" spans="1:7">
      <c r="A145" t="s">
        <v>123</v>
      </c>
      <c r="B145" s="12">
        <v>40299</v>
      </c>
      <c r="C145">
        <v>0</v>
      </c>
      <c r="D145" s="13">
        <v>0.45440000000000003</v>
      </c>
      <c r="E145" s="210">
        <v>2104.61</v>
      </c>
      <c r="F145" s="14">
        <v>0</v>
      </c>
      <c r="G145" s="14">
        <v>0</v>
      </c>
    </row>
    <row r="146" spans="1:7">
      <c r="A146" t="s">
        <v>123</v>
      </c>
      <c r="B146" s="12">
        <v>40330</v>
      </c>
      <c r="C146">
        <v>0</v>
      </c>
      <c r="D146" s="13">
        <v>7.6999999999999999E-2</v>
      </c>
      <c r="E146" s="210">
        <v>3060.94</v>
      </c>
      <c r="F146" s="14">
        <v>0</v>
      </c>
      <c r="G146" s="14">
        <v>0</v>
      </c>
    </row>
    <row r="147" spans="1:7">
      <c r="A147" t="s">
        <v>123</v>
      </c>
      <c r="B147" s="12">
        <v>40360</v>
      </c>
      <c r="C147">
        <v>0</v>
      </c>
      <c r="D147" s="13">
        <v>0.3196</v>
      </c>
      <c r="E147" s="210">
        <v>3296.63</v>
      </c>
      <c r="F147" s="14">
        <v>0</v>
      </c>
      <c r="G147" s="14">
        <v>0</v>
      </c>
    </row>
    <row r="148" spans="1:7">
      <c r="A148" t="s">
        <v>123</v>
      </c>
      <c r="B148" s="12">
        <v>40391</v>
      </c>
      <c r="C148">
        <v>0</v>
      </c>
      <c r="D148" s="13">
        <v>0.1085</v>
      </c>
      <c r="E148" s="210">
        <v>2243.0300000000002</v>
      </c>
      <c r="F148" s="14">
        <v>0</v>
      </c>
      <c r="G148" s="14">
        <v>0</v>
      </c>
    </row>
    <row r="149" spans="1:7">
      <c r="A149" t="s">
        <v>123</v>
      </c>
      <c r="B149" s="12">
        <v>40422</v>
      </c>
      <c r="C149">
        <v>0</v>
      </c>
      <c r="D149" s="13">
        <v>9.0200000000000002E-2</v>
      </c>
      <c r="E149" s="210">
        <v>2486.4</v>
      </c>
      <c r="F149" s="14">
        <v>0</v>
      </c>
      <c r="G149" s="14">
        <v>0</v>
      </c>
    </row>
    <row r="150" spans="1:7">
      <c r="A150" t="s">
        <v>123</v>
      </c>
      <c r="B150" s="12">
        <v>40452</v>
      </c>
      <c r="C150">
        <v>0</v>
      </c>
      <c r="D150" s="13">
        <v>0.1055</v>
      </c>
      <c r="E150" s="210">
        <v>2262.12</v>
      </c>
      <c r="F150" s="14">
        <v>0</v>
      </c>
      <c r="G150" s="14">
        <v>0</v>
      </c>
    </row>
    <row r="151" spans="1:7">
      <c r="A151" t="s">
        <v>123</v>
      </c>
      <c r="B151" s="12">
        <v>40483</v>
      </c>
      <c r="C151">
        <v>0</v>
      </c>
      <c r="D151" s="13">
        <v>0.1104</v>
      </c>
      <c r="E151" s="210">
        <v>2023.47</v>
      </c>
      <c r="F151" s="14">
        <v>0</v>
      </c>
      <c r="G151" s="14">
        <v>0</v>
      </c>
    </row>
    <row r="152" spans="1:7">
      <c r="A152" t="s">
        <v>124</v>
      </c>
      <c r="B152" s="12">
        <v>38991</v>
      </c>
      <c r="C152">
        <v>0</v>
      </c>
      <c r="D152" s="13">
        <v>0</v>
      </c>
      <c r="E152" s="210">
        <v>1000</v>
      </c>
      <c r="F152" s="14">
        <v>0</v>
      </c>
      <c r="G152" s="14">
        <v>0</v>
      </c>
    </row>
    <row r="153" spans="1:7">
      <c r="A153" t="s">
        <v>124</v>
      </c>
      <c r="B153" s="12">
        <v>39022</v>
      </c>
      <c r="C153">
        <v>0</v>
      </c>
      <c r="D153" s="13">
        <v>0</v>
      </c>
      <c r="E153" s="210">
        <v>1000</v>
      </c>
      <c r="F153" s="14">
        <v>0</v>
      </c>
      <c r="G153" s="14">
        <v>0</v>
      </c>
    </row>
    <row r="154" spans="1:7">
      <c r="A154" t="s">
        <v>124</v>
      </c>
      <c r="B154" s="12">
        <v>39052</v>
      </c>
      <c r="C154">
        <v>0</v>
      </c>
      <c r="D154" s="13">
        <v>0</v>
      </c>
      <c r="E154" s="210">
        <v>1000</v>
      </c>
      <c r="F154" s="14">
        <v>0</v>
      </c>
      <c r="G154" s="14">
        <v>0</v>
      </c>
    </row>
    <row r="155" spans="1:7">
      <c r="A155" t="s">
        <v>124</v>
      </c>
      <c r="B155" s="12">
        <v>39083</v>
      </c>
      <c r="C155">
        <v>0</v>
      </c>
      <c r="D155" s="13">
        <v>0</v>
      </c>
      <c r="E155" s="210">
        <v>1000</v>
      </c>
      <c r="F155" s="14">
        <v>0</v>
      </c>
      <c r="G155" s="14">
        <v>0</v>
      </c>
    </row>
    <row r="156" spans="1:7">
      <c r="A156" t="s">
        <v>124</v>
      </c>
      <c r="B156" s="12">
        <v>39114</v>
      </c>
      <c r="C156">
        <v>0</v>
      </c>
      <c r="D156" s="13">
        <v>0</v>
      </c>
      <c r="E156" s="210">
        <v>1000</v>
      </c>
      <c r="F156" s="14">
        <v>0</v>
      </c>
      <c r="G156" s="14">
        <v>0</v>
      </c>
    </row>
    <row r="157" spans="1:7">
      <c r="A157" t="s">
        <v>124</v>
      </c>
      <c r="B157" s="12">
        <v>39142</v>
      </c>
      <c r="C157">
        <v>0</v>
      </c>
      <c r="D157" s="13">
        <v>0</v>
      </c>
      <c r="E157" s="210">
        <v>1000</v>
      </c>
      <c r="F157" s="14">
        <v>0</v>
      </c>
      <c r="G157" s="14">
        <v>0</v>
      </c>
    </row>
    <row r="158" spans="1:7">
      <c r="A158" t="s">
        <v>124</v>
      </c>
      <c r="B158" s="12">
        <v>39173</v>
      </c>
      <c r="C158">
        <v>0</v>
      </c>
      <c r="D158" s="13">
        <v>0</v>
      </c>
      <c r="E158" s="210">
        <v>1000</v>
      </c>
      <c r="F158" s="14">
        <v>0</v>
      </c>
      <c r="G158" s="14">
        <v>0</v>
      </c>
    </row>
    <row r="159" spans="1:7">
      <c r="A159" t="s">
        <v>124</v>
      </c>
      <c r="B159" s="12">
        <v>39203</v>
      </c>
      <c r="C159">
        <v>0</v>
      </c>
      <c r="D159" s="13">
        <v>0</v>
      </c>
      <c r="E159" s="210">
        <v>1000</v>
      </c>
      <c r="F159" s="14">
        <v>0</v>
      </c>
      <c r="G159" s="14">
        <v>0</v>
      </c>
    </row>
    <row r="160" spans="1:7">
      <c r="A160" t="s">
        <v>124</v>
      </c>
      <c r="B160" s="12">
        <v>39234</v>
      </c>
      <c r="C160">
        <v>0</v>
      </c>
      <c r="D160" s="13">
        <v>0</v>
      </c>
      <c r="E160" s="210">
        <v>1000</v>
      </c>
      <c r="F160" s="14">
        <v>0</v>
      </c>
      <c r="G160" s="14">
        <v>0</v>
      </c>
    </row>
    <row r="161" spans="1:7">
      <c r="A161" t="s">
        <v>124</v>
      </c>
      <c r="B161" s="12">
        <v>39264</v>
      </c>
      <c r="C161">
        <v>0</v>
      </c>
      <c r="D161" s="13">
        <v>0</v>
      </c>
      <c r="E161" s="210">
        <v>1000</v>
      </c>
      <c r="F161" s="14">
        <v>0</v>
      </c>
      <c r="G161" s="14">
        <v>0</v>
      </c>
    </row>
    <row r="162" spans="1:7">
      <c r="A162" t="s">
        <v>124</v>
      </c>
      <c r="B162" s="12">
        <v>39295</v>
      </c>
      <c r="C162">
        <v>0</v>
      </c>
      <c r="D162" s="13">
        <v>1.5E-3</v>
      </c>
      <c r="E162" s="210">
        <v>1000</v>
      </c>
      <c r="F162" s="14">
        <v>0</v>
      </c>
      <c r="G162" s="14">
        <v>0</v>
      </c>
    </row>
    <row r="163" spans="1:7">
      <c r="A163" t="s">
        <v>124</v>
      </c>
      <c r="B163" s="12">
        <v>39326</v>
      </c>
      <c r="C163">
        <v>0</v>
      </c>
      <c r="D163" s="13">
        <v>0</v>
      </c>
      <c r="E163" s="210">
        <v>1001.5</v>
      </c>
      <c r="F163" s="14">
        <v>0</v>
      </c>
      <c r="G163" s="14">
        <v>0</v>
      </c>
    </row>
    <row r="164" spans="1:7">
      <c r="A164" t="s">
        <v>124</v>
      </c>
      <c r="B164" s="12">
        <v>39356</v>
      </c>
      <c r="C164">
        <v>0</v>
      </c>
      <c r="D164" s="13">
        <v>0</v>
      </c>
      <c r="E164" s="210">
        <v>1001.5</v>
      </c>
      <c r="F164" s="14">
        <v>0</v>
      </c>
      <c r="G164" s="14">
        <v>0</v>
      </c>
    </row>
    <row r="165" spans="1:7">
      <c r="A165" t="s">
        <v>124</v>
      </c>
      <c r="B165" s="12">
        <v>39387</v>
      </c>
      <c r="C165">
        <v>0</v>
      </c>
      <c r="D165" s="13">
        <v>0</v>
      </c>
      <c r="E165" s="210">
        <v>1001.5</v>
      </c>
      <c r="F165" s="14">
        <v>0</v>
      </c>
      <c r="G165" s="14">
        <v>0</v>
      </c>
    </row>
    <row r="166" spans="1:7">
      <c r="A166" t="s">
        <v>124</v>
      </c>
      <c r="B166" s="12">
        <v>39417</v>
      </c>
      <c r="C166">
        <v>0</v>
      </c>
      <c r="D166" s="13">
        <v>0</v>
      </c>
      <c r="E166" s="210">
        <v>1001.5</v>
      </c>
      <c r="F166" s="14">
        <v>0</v>
      </c>
      <c r="G166" s="14">
        <v>0</v>
      </c>
    </row>
    <row r="167" spans="1:7">
      <c r="A167" t="s">
        <v>124</v>
      </c>
      <c r="B167" s="12">
        <v>39448</v>
      </c>
      <c r="C167">
        <v>0</v>
      </c>
      <c r="D167" s="13">
        <v>0</v>
      </c>
      <c r="E167" s="210">
        <v>1001.5</v>
      </c>
      <c r="F167" s="14">
        <v>0</v>
      </c>
      <c r="G167" s="14">
        <v>0</v>
      </c>
    </row>
    <row r="168" spans="1:7">
      <c r="A168" t="s">
        <v>124</v>
      </c>
      <c r="B168" s="12">
        <v>39479</v>
      </c>
      <c r="C168">
        <v>0</v>
      </c>
      <c r="D168" s="13">
        <v>2.5000000000000001E-3</v>
      </c>
      <c r="E168" s="210">
        <v>1001.5</v>
      </c>
      <c r="F168" s="14">
        <v>0</v>
      </c>
      <c r="G168" s="14">
        <v>0</v>
      </c>
    </row>
    <row r="169" spans="1:7">
      <c r="A169" t="s">
        <v>124</v>
      </c>
      <c r="B169" s="12">
        <v>39508</v>
      </c>
      <c r="C169">
        <v>0</v>
      </c>
      <c r="D169" s="13">
        <v>0</v>
      </c>
      <c r="E169" s="210">
        <v>1004</v>
      </c>
      <c r="F169" s="14">
        <v>0</v>
      </c>
      <c r="G169" s="14">
        <v>0</v>
      </c>
    </row>
    <row r="170" spans="1:7">
      <c r="A170" t="s">
        <v>124</v>
      </c>
      <c r="B170" s="12">
        <v>39539</v>
      </c>
      <c r="C170">
        <v>0</v>
      </c>
      <c r="D170" s="13">
        <v>0</v>
      </c>
      <c r="E170" s="210">
        <v>1004</v>
      </c>
      <c r="F170" s="14">
        <v>0</v>
      </c>
      <c r="G170" s="14">
        <v>0</v>
      </c>
    </row>
    <row r="171" spans="1:7">
      <c r="A171" t="s">
        <v>124</v>
      </c>
      <c r="B171" s="12">
        <v>39569</v>
      </c>
      <c r="C171">
        <v>0</v>
      </c>
      <c r="D171" s="13">
        <v>1.2999999999999999E-3</v>
      </c>
      <c r="E171" s="210">
        <v>1004</v>
      </c>
      <c r="F171" s="14">
        <v>0</v>
      </c>
      <c r="G171" s="14">
        <v>0</v>
      </c>
    </row>
    <row r="172" spans="1:7">
      <c r="A172" t="s">
        <v>124</v>
      </c>
      <c r="B172" s="12">
        <v>39600</v>
      </c>
      <c r="C172">
        <v>0</v>
      </c>
      <c r="D172" s="13">
        <v>1.6999999999999999E-3</v>
      </c>
      <c r="E172" s="210">
        <v>1005.3</v>
      </c>
      <c r="F172" s="14">
        <v>0</v>
      </c>
      <c r="G172" s="14">
        <v>0</v>
      </c>
    </row>
    <row r="173" spans="1:7">
      <c r="A173" t="s">
        <v>124</v>
      </c>
      <c r="B173" s="12">
        <v>39630</v>
      </c>
      <c r="C173">
        <v>0</v>
      </c>
      <c r="D173" s="13">
        <v>1.6999999999999999E-3</v>
      </c>
      <c r="E173" s="210">
        <v>1007.01</v>
      </c>
      <c r="F173" s="14">
        <v>0</v>
      </c>
      <c r="G173" s="14">
        <v>0</v>
      </c>
    </row>
    <row r="174" spans="1:7">
      <c r="A174" t="s">
        <v>124</v>
      </c>
      <c r="B174" s="12">
        <v>39661</v>
      </c>
      <c r="C174">
        <v>0</v>
      </c>
      <c r="D174" s="13">
        <v>1.6999999999999999E-3</v>
      </c>
      <c r="E174" s="210">
        <v>1008.72</v>
      </c>
      <c r="F174" s="14">
        <v>0</v>
      </c>
      <c r="G174" s="14">
        <v>0</v>
      </c>
    </row>
    <row r="175" spans="1:7">
      <c r="A175" t="s">
        <v>124</v>
      </c>
      <c r="B175" s="12">
        <v>39692</v>
      </c>
      <c r="C175">
        <v>0</v>
      </c>
      <c r="D175" s="13">
        <v>1.6999999999999999E-3</v>
      </c>
      <c r="E175" s="210">
        <v>1010.44</v>
      </c>
      <c r="F175" s="14">
        <v>0</v>
      </c>
      <c r="G175" s="14">
        <v>0</v>
      </c>
    </row>
    <row r="176" spans="1:7">
      <c r="A176" t="s">
        <v>124</v>
      </c>
      <c r="B176" s="12">
        <v>39722</v>
      </c>
      <c r="C176">
        <v>0</v>
      </c>
      <c r="D176" s="13">
        <v>8.0000000000000004E-4</v>
      </c>
      <c r="E176" s="210">
        <v>1012.16</v>
      </c>
      <c r="F176" s="14">
        <v>0</v>
      </c>
      <c r="G176" s="14">
        <v>0</v>
      </c>
    </row>
    <row r="177" spans="1:7">
      <c r="A177" t="s">
        <v>124</v>
      </c>
      <c r="B177" s="12">
        <v>39753</v>
      </c>
      <c r="C177">
        <v>0</v>
      </c>
      <c r="D177" s="13">
        <v>8.0000000000000004E-4</v>
      </c>
      <c r="E177" s="210">
        <v>1012.97</v>
      </c>
      <c r="F177" s="14">
        <v>0</v>
      </c>
      <c r="G177" s="14">
        <v>0</v>
      </c>
    </row>
    <row r="178" spans="1:7">
      <c r="A178" t="s">
        <v>124</v>
      </c>
      <c r="B178" s="12">
        <v>39783</v>
      </c>
      <c r="C178">
        <v>0</v>
      </c>
      <c r="D178" s="13">
        <v>8.0000000000000004E-4</v>
      </c>
      <c r="E178" s="210">
        <v>1013.78</v>
      </c>
      <c r="F178" s="14">
        <v>0</v>
      </c>
      <c r="G178" s="14">
        <v>0</v>
      </c>
    </row>
    <row r="179" spans="1:7">
      <c r="A179" t="s">
        <v>124</v>
      </c>
      <c r="B179" s="12">
        <v>39814</v>
      </c>
      <c r="C179">
        <v>0</v>
      </c>
      <c r="D179" s="13">
        <v>8.0000000000000004E-4</v>
      </c>
      <c r="E179" s="210">
        <v>1014.59</v>
      </c>
      <c r="F179" s="14">
        <v>0</v>
      </c>
      <c r="G179" s="14">
        <v>0</v>
      </c>
    </row>
    <row r="180" spans="1:7">
      <c r="A180" t="s">
        <v>124</v>
      </c>
      <c r="B180" s="12">
        <v>39845</v>
      </c>
      <c r="C180">
        <v>0</v>
      </c>
      <c r="D180" s="13">
        <v>8.0000000000000004E-4</v>
      </c>
      <c r="E180" s="210">
        <v>1015.4</v>
      </c>
      <c r="F180" s="14">
        <v>0</v>
      </c>
      <c r="G180" s="14">
        <v>0</v>
      </c>
    </row>
    <row r="181" spans="1:7">
      <c r="A181" t="s">
        <v>124</v>
      </c>
      <c r="B181" s="12">
        <v>39873</v>
      </c>
      <c r="C181">
        <v>0</v>
      </c>
      <c r="D181" s="13">
        <v>8.0000000000000004E-4</v>
      </c>
      <c r="E181" s="210">
        <v>1016.21</v>
      </c>
      <c r="F181" s="14">
        <v>0</v>
      </c>
      <c r="G181" s="14">
        <v>0</v>
      </c>
    </row>
    <row r="182" spans="1:7">
      <c r="A182" t="s">
        <v>124</v>
      </c>
      <c r="B182" s="12">
        <v>39904</v>
      </c>
      <c r="C182">
        <v>0</v>
      </c>
      <c r="D182" s="13">
        <v>8.0000000000000004E-4</v>
      </c>
      <c r="E182" s="210">
        <v>1017.03</v>
      </c>
      <c r="F182" s="14">
        <v>0</v>
      </c>
      <c r="G182" s="14">
        <v>0</v>
      </c>
    </row>
    <row r="183" spans="1:7">
      <c r="A183" t="s">
        <v>124</v>
      </c>
      <c r="B183" s="12">
        <v>39934</v>
      </c>
      <c r="C183">
        <v>0</v>
      </c>
      <c r="D183" s="13">
        <v>8.0000000000000004E-4</v>
      </c>
      <c r="E183" s="210">
        <v>1017.84</v>
      </c>
      <c r="F183" s="14">
        <v>0</v>
      </c>
      <c r="G183" s="14">
        <v>0</v>
      </c>
    </row>
    <row r="184" spans="1:7">
      <c r="A184" t="s">
        <v>124</v>
      </c>
      <c r="B184" s="12">
        <v>39965</v>
      </c>
      <c r="C184">
        <v>0</v>
      </c>
      <c r="D184" s="13">
        <v>8.0000000000000004E-4</v>
      </c>
      <c r="E184" s="210">
        <v>1018.65</v>
      </c>
      <c r="F184" s="14">
        <v>0</v>
      </c>
      <c r="G184" s="14">
        <v>0</v>
      </c>
    </row>
    <row r="185" spans="1:7">
      <c r="A185" t="s">
        <v>124</v>
      </c>
      <c r="B185" s="12">
        <v>39995</v>
      </c>
      <c r="C185">
        <v>0</v>
      </c>
      <c r="D185" s="13">
        <v>8.0000000000000004E-4</v>
      </c>
      <c r="E185" s="210">
        <v>1019.47</v>
      </c>
      <c r="F185" s="14">
        <v>0</v>
      </c>
      <c r="G185" s="14">
        <v>0</v>
      </c>
    </row>
    <row r="186" spans="1:7">
      <c r="A186" t="s">
        <v>124</v>
      </c>
      <c r="B186" s="12">
        <v>40026</v>
      </c>
      <c r="C186">
        <v>0</v>
      </c>
      <c r="D186" s="13">
        <v>8.0000000000000004E-4</v>
      </c>
      <c r="E186" s="210">
        <v>1020.28</v>
      </c>
      <c r="F186" s="14">
        <v>0</v>
      </c>
      <c r="G186" s="14">
        <v>0</v>
      </c>
    </row>
    <row r="187" spans="1:7">
      <c r="A187" t="s">
        <v>124</v>
      </c>
      <c r="B187" s="12">
        <v>40057</v>
      </c>
      <c r="C187">
        <v>0</v>
      </c>
      <c r="D187" s="13">
        <v>8.0000000000000004E-4</v>
      </c>
      <c r="E187" s="210">
        <v>1021.1</v>
      </c>
      <c r="F187" s="14">
        <v>0</v>
      </c>
      <c r="G187" s="14">
        <v>0</v>
      </c>
    </row>
    <row r="188" spans="1:7">
      <c r="A188" t="s">
        <v>124</v>
      </c>
      <c r="B188" s="12">
        <v>40087</v>
      </c>
      <c r="C188">
        <v>0</v>
      </c>
      <c r="D188" s="13">
        <v>8.0000000000000004E-4</v>
      </c>
      <c r="E188" s="210">
        <v>1021.92</v>
      </c>
      <c r="F188" s="14">
        <v>0</v>
      </c>
      <c r="G188" s="14">
        <v>0</v>
      </c>
    </row>
    <row r="189" spans="1:7">
      <c r="A189" t="s">
        <v>124</v>
      </c>
      <c r="B189" s="12">
        <v>40118</v>
      </c>
      <c r="C189">
        <v>0</v>
      </c>
      <c r="D189" s="13">
        <v>8.0000000000000004E-4</v>
      </c>
      <c r="E189" s="210">
        <v>1022.73</v>
      </c>
      <c r="F189" s="14">
        <v>0</v>
      </c>
      <c r="G189" s="14">
        <v>0</v>
      </c>
    </row>
    <row r="190" spans="1:7">
      <c r="A190" t="s">
        <v>124</v>
      </c>
      <c r="B190" s="12">
        <v>40148</v>
      </c>
      <c r="C190">
        <v>0</v>
      </c>
      <c r="D190" s="13">
        <v>8.0000000000000004E-4</v>
      </c>
      <c r="E190" s="210">
        <v>1023.55</v>
      </c>
      <c r="F190" s="14">
        <v>0</v>
      </c>
      <c r="G190" s="14">
        <v>0</v>
      </c>
    </row>
    <row r="191" spans="1:7">
      <c r="A191" t="s">
        <v>124</v>
      </c>
      <c r="B191" s="12">
        <v>40179</v>
      </c>
      <c r="C191">
        <v>0</v>
      </c>
      <c r="D191" s="13">
        <v>8.0000000000000004E-4</v>
      </c>
      <c r="E191" s="210">
        <v>1024.3699999999999</v>
      </c>
      <c r="F191" s="14">
        <v>0</v>
      </c>
      <c r="G191" s="14">
        <v>0</v>
      </c>
    </row>
    <row r="192" spans="1:7">
      <c r="A192" t="s">
        <v>124</v>
      </c>
      <c r="B192" s="12">
        <v>40210</v>
      </c>
      <c r="C192">
        <v>0</v>
      </c>
      <c r="D192" s="13">
        <v>8.0000000000000004E-4</v>
      </c>
      <c r="E192" s="210">
        <v>1025.19</v>
      </c>
      <c r="F192" s="14">
        <v>0</v>
      </c>
      <c r="G192" s="14">
        <v>0</v>
      </c>
    </row>
    <row r="193" spans="1:7">
      <c r="A193" t="s">
        <v>124</v>
      </c>
      <c r="B193" s="12">
        <v>40238</v>
      </c>
      <c r="C193">
        <v>0</v>
      </c>
      <c r="D193" s="13">
        <v>8.0000000000000004E-4</v>
      </c>
      <c r="E193" s="210">
        <v>1026.01</v>
      </c>
      <c r="F193" s="14">
        <v>0</v>
      </c>
      <c r="G193" s="14">
        <v>0</v>
      </c>
    </row>
    <row r="194" spans="1:7">
      <c r="A194" t="s">
        <v>124</v>
      </c>
      <c r="B194" s="12">
        <v>40269</v>
      </c>
      <c r="C194">
        <v>0</v>
      </c>
      <c r="D194" s="13">
        <v>8.0000000000000004E-4</v>
      </c>
      <c r="E194" s="210">
        <v>1026.83</v>
      </c>
      <c r="F194" s="14">
        <v>0</v>
      </c>
      <c r="G194" s="14">
        <v>0</v>
      </c>
    </row>
    <row r="195" spans="1:7">
      <c r="A195" t="s">
        <v>124</v>
      </c>
      <c r="B195" s="12">
        <v>40299</v>
      </c>
      <c r="C195">
        <v>0</v>
      </c>
      <c r="D195" s="13">
        <v>8.0000000000000004E-4</v>
      </c>
      <c r="E195" s="210">
        <v>1027.6500000000001</v>
      </c>
      <c r="F195" s="14">
        <v>0</v>
      </c>
      <c r="G195" s="14">
        <v>0</v>
      </c>
    </row>
    <row r="196" spans="1:7">
      <c r="A196" t="s">
        <v>124</v>
      </c>
      <c r="B196" s="12">
        <v>40330</v>
      </c>
      <c r="C196">
        <v>0</v>
      </c>
      <c r="D196" s="13">
        <v>8.0000000000000004E-4</v>
      </c>
      <c r="E196" s="210">
        <v>1028.48</v>
      </c>
      <c r="F196" s="14">
        <v>0</v>
      </c>
      <c r="G196" s="14">
        <v>0</v>
      </c>
    </row>
    <row r="197" spans="1:7">
      <c r="A197" t="s">
        <v>124</v>
      </c>
      <c r="B197" s="12">
        <v>40360</v>
      </c>
      <c r="C197">
        <v>0</v>
      </c>
      <c r="D197" s="13">
        <v>8.0000000000000004E-4</v>
      </c>
      <c r="E197" s="210">
        <v>1029.3</v>
      </c>
      <c r="F197" s="14">
        <v>0</v>
      </c>
      <c r="G197" s="14">
        <v>0</v>
      </c>
    </row>
    <row r="198" spans="1:7">
      <c r="A198" t="s">
        <v>124</v>
      </c>
      <c r="B198" s="12">
        <v>40391</v>
      </c>
      <c r="C198">
        <v>0</v>
      </c>
      <c r="D198" s="13">
        <v>8.0000000000000004E-4</v>
      </c>
      <c r="E198" s="210">
        <v>1030.1199999999999</v>
      </c>
      <c r="F198" s="14">
        <v>0</v>
      </c>
      <c r="G198" s="14">
        <v>0</v>
      </c>
    </row>
    <row r="199" spans="1:7">
      <c r="A199" t="s">
        <v>124</v>
      </c>
      <c r="B199" s="12">
        <v>40422</v>
      </c>
      <c r="C199">
        <v>0</v>
      </c>
      <c r="D199" s="13">
        <v>8.0000000000000004E-4</v>
      </c>
      <c r="E199" s="210">
        <v>1030.95</v>
      </c>
      <c r="F199" s="14">
        <v>0</v>
      </c>
      <c r="G199" s="14">
        <v>0</v>
      </c>
    </row>
    <row r="200" spans="1:7">
      <c r="A200" t="s">
        <v>124</v>
      </c>
      <c r="B200" s="12">
        <v>40452</v>
      </c>
      <c r="C200">
        <v>0</v>
      </c>
      <c r="D200" s="13">
        <v>8.0000000000000004E-4</v>
      </c>
      <c r="E200" s="210">
        <v>1031.77</v>
      </c>
      <c r="F200" s="14">
        <v>0</v>
      </c>
      <c r="G200" s="14">
        <v>0</v>
      </c>
    </row>
    <row r="201" spans="1:7">
      <c r="A201" t="s">
        <v>124</v>
      </c>
      <c r="B201" s="12">
        <v>40483</v>
      </c>
      <c r="C201">
        <v>0</v>
      </c>
      <c r="D201" s="13">
        <v>8.0000000000000004E-4</v>
      </c>
      <c r="E201" s="210">
        <v>1032.5999999999999</v>
      </c>
      <c r="F201" s="14">
        <v>0</v>
      </c>
      <c r="G201" s="14">
        <v>0</v>
      </c>
    </row>
    <row r="202" spans="1:7">
      <c r="B202" s="12"/>
      <c r="D202" s="13"/>
      <c r="E202" s="210"/>
      <c r="F202" s="14"/>
      <c r="G202" s="14"/>
    </row>
    <row r="203" spans="1:7">
      <c r="B203" s="12"/>
      <c r="D203" s="13"/>
      <c r="E203" s="210"/>
      <c r="F203" s="14"/>
      <c r="G203" s="14"/>
    </row>
    <row r="204" spans="1:7">
      <c r="B204" s="12"/>
      <c r="D204" s="13"/>
      <c r="E204" s="210"/>
      <c r="F204" s="14"/>
      <c r="G204" s="14"/>
    </row>
    <row r="205" spans="1:7">
      <c r="B205" s="12"/>
      <c r="D205" s="13"/>
      <c r="E205" s="210"/>
      <c r="F205" s="14"/>
      <c r="G205" s="14"/>
    </row>
    <row r="206" spans="1:7">
      <c r="B206" s="12"/>
      <c r="D206" s="13"/>
      <c r="E206" s="210"/>
      <c r="F206" s="14"/>
      <c r="G206" s="14"/>
    </row>
    <row r="207" spans="1:7">
      <c r="B207" s="12"/>
      <c r="D207" s="13"/>
      <c r="E207" s="210"/>
      <c r="F207" s="14"/>
      <c r="G207" s="14"/>
    </row>
    <row r="208" spans="1:7">
      <c r="B208" s="12"/>
      <c r="D208" s="13"/>
      <c r="E208" s="210"/>
      <c r="F208" s="14"/>
      <c r="G208" s="14"/>
    </row>
    <row r="209" spans="2:7">
      <c r="B209" s="12"/>
      <c r="D209" s="13"/>
      <c r="E209" s="210"/>
      <c r="F209" s="14"/>
      <c r="G209" s="14"/>
    </row>
    <row r="210" spans="2:7">
      <c r="B210" s="12"/>
      <c r="D210" s="13"/>
      <c r="E210" s="210"/>
      <c r="F210" s="14"/>
      <c r="G210" s="14"/>
    </row>
    <row r="211" spans="2:7">
      <c r="B211" s="12"/>
      <c r="D211" s="13"/>
      <c r="E211" s="210"/>
      <c r="F211" s="14"/>
      <c r="G211" s="14"/>
    </row>
    <row r="212" spans="2:7">
      <c r="B212" s="12"/>
      <c r="D212" s="13"/>
      <c r="E212" s="210"/>
      <c r="F212" s="14"/>
      <c r="G212" s="14"/>
    </row>
    <row r="213" spans="2:7">
      <c r="B213" s="12"/>
      <c r="D213" s="13"/>
      <c r="E213" s="210"/>
      <c r="F213" s="14"/>
      <c r="G213" s="14"/>
    </row>
    <row r="214" spans="2:7">
      <c r="B214" s="12"/>
      <c r="D214" s="13"/>
      <c r="E214" s="210"/>
      <c r="F214" s="14"/>
      <c r="G214" s="14"/>
    </row>
    <row r="215" spans="2:7">
      <c r="B215" s="12"/>
      <c r="D215" s="13"/>
      <c r="E215" s="210"/>
      <c r="F215" s="14"/>
      <c r="G215" s="14"/>
    </row>
    <row r="216" spans="2:7">
      <c r="B216" s="12"/>
      <c r="D216" s="13"/>
      <c r="E216" s="210"/>
      <c r="F216" s="14"/>
      <c r="G216" s="14"/>
    </row>
    <row r="217" spans="2:7">
      <c r="B217" s="12"/>
      <c r="D217" s="13"/>
      <c r="E217" s="210"/>
      <c r="F217" s="14"/>
      <c r="G217" s="14"/>
    </row>
    <row r="218" spans="2:7">
      <c r="B218" s="12"/>
      <c r="D218" s="13"/>
      <c r="E218" s="210"/>
      <c r="F218" s="14"/>
      <c r="G218" s="14"/>
    </row>
    <row r="219" spans="2:7">
      <c r="B219" s="12"/>
      <c r="D219" s="13"/>
      <c r="E219" s="210"/>
      <c r="F219" s="14"/>
      <c r="G219" s="14"/>
    </row>
    <row r="220" spans="2:7">
      <c r="B220" s="12"/>
      <c r="D220" s="13"/>
      <c r="E220" s="210"/>
      <c r="F220" s="14"/>
      <c r="G220" s="14"/>
    </row>
    <row r="221" spans="2:7">
      <c r="B221" s="12"/>
      <c r="D221" s="13"/>
      <c r="E221" s="210"/>
      <c r="F221" s="14"/>
      <c r="G221" s="14"/>
    </row>
    <row r="222" spans="2:7">
      <c r="B222" s="12"/>
      <c r="D222" s="13"/>
      <c r="E222" s="210"/>
      <c r="F222" s="14"/>
      <c r="G222" s="14"/>
    </row>
    <row r="223" spans="2:7">
      <c r="B223" s="12"/>
      <c r="D223" s="13"/>
      <c r="E223" s="210"/>
      <c r="F223" s="14"/>
      <c r="G223" s="14"/>
    </row>
    <row r="224" spans="2:7">
      <c r="B224" s="12"/>
      <c r="D224" s="13"/>
      <c r="E224" s="210"/>
      <c r="F224" s="14"/>
      <c r="G224" s="14"/>
    </row>
    <row r="225" spans="2:7">
      <c r="B225" s="12"/>
      <c r="D225" s="13"/>
      <c r="E225" s="210"/>
      <c r="F225" s="14"/>
      <c r="G225" s="14"/>
    </row>
    <row r="226" spans="2:7">
      <c r="B226" s="12"/>
      <c r="D226" s="13"/>
      <c r="E226" s="210"/>
      <c r="F226" s="14"/>
      <c r="G226" s="14"/>
    </row>
    <row r="227" spans="2:7">
      <c r="B227" s="12"/>
      <c r="D227" s="13"/>
      <c r="E227" s="210"/>
      <c r="F227" s="14"/>
      <c r="G227" s="14"/>
    </row>
    <row r="228" spans="2:7">
      <c r="B228" s="12"/>
      <c r="D228" s="13"/>
      <c r="E228" s="210"/>
      <c r="F228" s="14"/>
      <c r="G228" s="14"/>
    </row>
    <row r="229" spans="2:7">
      <c r="B229" s="12"/>
      <c r="D229" s="13"/>
      <c r="E229" s="210"/>
      <c r="F229" s="14"/>
      <c r="G229" s="14"/>
    </row>
    <row r="230" spans="2:7">
      <c r="B230" s="12"/>
      <c r="D230" s="13"/>
      <c r="E230" s="210"/>
      <c r="F230" s="14"/>
      <c r="G230" s="14"/>
    </row>
    <row r="231" spans="2:7">
      <c r="B231" s="12"/>
      <c r="D231" s="13"/>
      <c r="E231" s="210"/>
      <c r="F231" s="14"/>
      <c r="G231" s="14"/>
    </row>
    <row r="232" spans="2:7">
      <c r="B232" s="12"/>
      <c r="D232" s="13"/>
      <c r="E232" s="210"/>
      <c r="F232" s="14"/>
      <c r="G232" s="14"/>
    </row>
    <row r="233" spans="2:7">
      <c r="B233" s="12"/>
      <c r="D233" s="13"/>
      <c r="E233" s="210"/>
      <c r="F233" s="14"/>
      <c r="G233" s="14"/>
    </row>
    <row r="234" spans="2:7">
      <c r="B234" s="12"/>
      <c r="D234" s="13"/>
      <c r="E234" s="210"/>
      <c r="F234" s="14"/>
      <c r="G234" s="14"/>
    </row>
    <row r="235" spans="2:7">
      <c r="B235" s="12"/>
      <c r="D235" s="13"/>
      <c r="E235" s="210"/>
      <c r="F235" s="14"/>
      <c r="G235" s="14"/>
    </row>
    <row r="236" spans="2:7">
      <c r="B236" s="12"/>
      <c r="D236" s="13"/>
      <c r="E236" s="210"/>
      <c r="F236" s="14"/>
      <c r="G236" s="14"/>
    </row>
    <row r="237" spans="2:7">
      <c r="B237" s="12"/>
      <c r="D237" s="13"/>
      <c r="E237" s="210"/>
      <c r="F237" s="14"/>
      <c r="G237" s="14"/>
    </row>
    <row r="238" spans="2:7">
      <c r="B238" s="12"/>
      <c r="D238" s="13"/>
      <c r="E238" s="210"/>
      <c r="F238" s="14"/>
      <c r="G238" s="14"/>
    </row>
    <row r="239" spans="2:7">
      <c r="B239" s="12"/>
      <c r="D239" s="13"/>
      <c r="E239" s="210"/>
      <c r="F239" s="14"/>
      <c r="G239" s="14"/>
    </row>
    <row r="240" spans="2:7">
      <c r="B240" s="12"/>
      <c r="D240" s="13"/>
      <c r="E240" s="210"/>
      <c r="F240" s="14"/>
      <c r="G240" s="14"/>
    </row>
    <row r="241" spans="2:7">
      <c r="B241" s="12"/>
      <c r="D241" s="13"/>
      <c r="E241" s="210"/>
      <c r="F241" s="14"/>
      <c r="G241" s="14"/>
    </row>
    <row r="242" spans="2:7">
      <c r="B242" s="12"/>
      <c r="D242" s="13"/>
      <c r="E242" s="210"/>
      <c r="F242" s="14"/>
      <c r="G242" s="14"/>
    </row>
    <row r="243" spans="2:7">
      <c r="B243" s="12"/>
      <c r="D243" s="13"/>
      <c r="E243" s="210"/>
      <c r="F243" s="14"/>
      <c r="G243" s="14"/>
    </row>
    <row r="244" spans="2:7">
      <c r="B244" s="12"/>
      <c r="D244" s="13"/>
      <c r="E244" s="210"/>
      <c r="F244" s="14"/>
      <c r="G244" s="14"/>
    </row>
    <row r="245" spans="2:7">
      <c r="B245" s="12"/>
      <c r="D245" s="13"/>
      <c r="E245" s="210"/>
      <c r="F245" s="14"/>
      <c r="G245" s="14"/>
    </row>
    <row r="246" spans="2:7">
      <c r="B246" s="12"/>
      <c r="D246" s="13"/>
      <c r="E246" s="210"/>
      <c r="F246" s="14"/>
      <c r="G246" s="14"/>
    </row>
    <row r="247" spans="2:7">
      <c r="B247" s="12"/>
      <c r="D247" s="13"/>
      <c r="E247" s="210"/>
      <c r="F247" s="14"/>
      <c r="G247" s="14"/>
    </row>
    <row r="248" spans="2:7">
      <c r="B248" s="12"/>
      <c r="D248" s="13"/>
      <c r="E248" s="210"/>
      <c r="F248" s="14"/>
      <c r="G248" s="14"/>
    </row>
    <row r="249" spans="2:7">
      <c r="B249" s="12"/>
      <c r="D249" s="13"/>
      <c r="E249" s="210"/>
      <c r="F249" s="14"/>
      <c r="G249" s="14"/>
    </row>
    <row r="250" spans="2:7">
      <c r="B250" s="12"/>
      <c r="D250" s="13"/>
      <c r="E250" s="210"/>
      <c r="F250" s="14"/>
      <c r="G250" s="14"/>
    </row>
    <row r="251" spans="2:7">
      <c r="B251" s="12"/>
      <c r="D251" s="13"/>
      <c r="E251" s="210"/>
      <c r="F251" s="14"/>
      <c r="G251" s="14"/>
    </row>
    <row r="252" spans="2:7">
      <c r="B252" s="12"/>
      <c r="D252" s="13"/>
      <c r="E252" s="210"/>
      <c r="F252" s="14"/>
      <c r="G252" s="14"/>
    </row>
    <row r="253" spans="2:7">
      <c r="B253" s="12"/>
      <c r="D253" s="13"/>
      <c r="E253" s="210"/>
      <c r="F253" s="14"/>
      <c r="G253" s="14"/>
    </row>
    <row r="254" spans="2:7">
      <c r="B254" s="12"/>
      <c r="D254" s="13"/>
      <c r="E254" s="210"/>
      <c r="F254" s="14"/>
      <c r="G254" s="14"/>
    </row>
    <row r="255" spans="2:7">
      <c r="B255" s="12"/>
      <c r="D255" s="13"/>
      <c r="E255" s="210"/>
      <c r="F255" s="14"/>
      <c r="G255" s="14"/>
    </row>
    <row r="256" spans="2:7">
      <c r="B256" s="12"/>
      <c r="D256" s="13"/>
      <c r="E256" s="210"/>
      <c r="F256" s="14"/>
      <c r="G256" s="14"/>
    </row>
    <row r="257" spans="2:7">
      <c r="B257" s="12"/>
      <c r="D257" s="13"/>
      <c r="E257" s="210"/>
      <c r="F257" s="14"/>
      <c r="G257" s="14"/>
    </row>
    <row r="258" spans="2:7">
      <c r="B258" s="12"/>
      <c r="D258" s="13"/>
      <c r="E258" s="210"/>
      <c r="F258" s="14"/>
      <c r="G258" s="14"/>
    </row>
    <row r="259" spans="2:7">
      <c r="B259" s="12"/>
      <c r="D259" s="13"/>
      <c r="E259" s="210"/>
      <c r="F259" s="14"/>
      <c r="G259" s="14"/>
    </row>
    <row r="260" spans="2:7">
      <c r="B260" s="12"/>
      <c r="D260" s="13"/>
      <c r="E260" s="210"/>
      <c r="F260" s="14"/>
      <c r="G260" s="14"/>
    </row>
    <row r="261" spans="2:7">
      <c r="B261" s="12"/>
      <c r="D261" s="13"/>
      <c r="E261" s="210"/>
      <c r="F261" s="14"/>
      <c r="G261" s="14"/>
    </row>
    <row r="262" spans="2:7">
      <c r="B262" s="12"/>
      <c r="D262" s="13"/>
      <c r="E262" s="210"/>
      <c r="F262" s="14"/>
      <c r="G262" s="14"/>
    </row>
    <row r="263" spans="2:7">
      <c r="B263" s="12"/>
      <c r="D263" s="13"/>
      <c r="E263" s="210"/>
      <c r="F263" s="14"/>
      <c r="G263" s="14"/>
    </row>
    <row r="264" spans="2:7">
      <c r="B264" s="12"/>
      <c r="D264" s="13"/>
      <c r="E264" s="210"/>
      <c r="F264" s="14"/>
      <c r="G264" s="14"/>
    </row>
    <row r="265" spans="2:7">
      <c r="B265" s="12"/>
      <c r="D265" s="13"/>
      <c r="E265" s="210"/>
      <c r="F265" s="14"/>
      <c r="G265" s="14"/>
    </row>
    <row r="266" spans="2:7">
      <c r="B266" s="12"/>
      <c r="D266" s="13"/>
      <c r="E266" s="210"/>
      <c r="F266" s="14"/>
      <c r="G266" s="14"/>
    </row>
    <row r="267" spans="2:7">
      <c r="B267" s="12"/>
      <c r="D267" s="13"/>
      <c r="E267" s="210"/>
      <c r="F267" s="14"/>
      <c r="G267" s="14"/>
    </row>
    <row r="268" spans="2:7">
      <c r="B268" s="12"/>
      <c r="D268" s="13"/>
      <c r="E268" s="210"/>
      <c r="F268" s="14"/>
      <c r="G268" s="14"/>
    </row>
    <row r="269" spans="2:7">
      <c r="B269" s="12"/>
      <c r="D269" s="13"/>
      <c r="E269" s="210"/>
      <c r="F269" s="14"/>
      <c r="G269" s="14"/>
    </row>
    <row r="270" spans="2:7">
      <c r="B270" s="12"/>
      <c r="D270" s="13"/>
      <c r="E270" s="210"/>
      <c r="F270" s="14"/>
      <c r="G270" s="14"/>
    </row>
    <row r="271" spans="2:7">
      <c r="B271" s="12"/>
      <c r="D271" s="13"/>
      <c r="E271" s="210"/>
      <c r="F271" s="14"/>
      <c r="G271" s="14"/>
    </row>
    <row r="272" spans="2:7">
      <c r="B272" s="12"/>
      <c r="D272" s="13"/>
      <c r="E272" s="210"/>
      <c r="F272" s="14"/>
      <c r="G272" s="14"/>
    </row>
    <row r="273" spans="2:7">
      <c r="B273" s="12"/>
      <c r="D273" s="13"/>
      <c r="E273" s="210"/>
      <c r="F273" s="14"/>
      <c r="G273" s="14"/>
    </row>
    <row r="274" spans="2:7">
      <c r="B274" s="12"/>
      <c r="D274" s="13"/>
      <c r="E274" s="210"/>
      <c r="F274" s="14"/>
      <c r="G274" s="14"/>
    </row>
    <row r="275" spans="2:7">
      <c r="B275" s="12"/>
      <c r="D275" s="13"/>
      <c r="E275" s="210"/>
      <c r="F275" s="14"/>
      <c r="G275" s="14"/>
    </row>
    <row r="276" spans="2:7">
      <c r="B276" s="12"/>
      <c r="D276" s="13"/>
      <c r="E276" s="210"/>
      <c r="F276" s="14"/>
      <c r="G276" s="14"/>
    </row>
    <row r="277" spans="2:7">
      <c r="B277" s="12"/>
      <c r="D277" s="13"/>
      <c r="E277" s="210"/>
      <c r="F277" s="14"/>
      <c r="G277" s="14"/>
    </row>
    <row r="278" spans="2:7">
      <c r="B278" s="12"/>
      <c r="D278" s="13"/>
      <c r="E278" s="210"/>
      <c r="F278" s="14"/>
      <c r="G278" s="14"/>
    </row>
    <row r="279" spans="2:7">
      <c r="B279" s="12"/>
      <c r="D279" s="13"/>
      <c r="E279" s="210"/>
      <c r="F279" s="14"/>
      <c r="G279" s="14"/>
    </row>
    <row r="280" spans="2:7">
      <c r="B280" s="12"/>
      <c r="D280" s="13"/>
      <c r="E280" s="210"/>
      <c r="F280" s="14"/>
      <c r="G280" s="14"/>
    </row>
    <row r="281" spans="2:7">
      <c r="B281" s="12"/>
      <c r="D281" s="13"/>
      <c r="E281" s="210"/>
      <c r="F281" s="14"/>
      <c r="G281" s="14"/>
    </row>
    <row r="282" spans="2:7">
      <c r="B282" s="12"/>
      <c r="D282" s="13"/>
      <c r="E282" s="210"/>
      <c r="F282" s="14"/>
      <c r="G282" s="14"/>
    </row>
    <row r="283" spans="2:7">
      <c r="B283" s="12"/>
      <c r="D283" s="13"/>
      <c r="E283" s="210"/>
      <c r="F283" s="14"/>
      <c r="G283" s="14"/>
    </row>
    <row r="284" spans="2:7">
      <c r="B284" s="12"/>
      <c r="D284" s="13"/>
      <c r="E284" s="210"/>
      <c r="F284" s="14"/>
      <c r="G284" s="14"/>
    </row>
    <row r="285" spans="2:7">
      <c r="B285" s="12"/>
      <c r="D285" s="13"/>
      <c r="E285" s="210"/>
      <c r="F285" s="14"/>
      <c r="G285" s="14"/>
    </row>
    <row r="286" spans="2:7">
      <c r="B286" s="12"/>
      <c r="D286" s="13"/>
      <c r="E286" s="210"/>
      <c r="F286" s="14"/>
      <c r="G286" s="14"/>
    </row>
    <row r="287" spans="2:7">
      <c r="B287" s="12"/>
      <c r="D287" s="13"/>
      <c r="E287" s="210"/>
      <c r="F287" s="14"/>
      <c r="G287" s="14"/>
    </row>
    <row r="288" spans="2:7">
      <c r="B288" s="12"/>
      <c r="D288" s="13"/>
      <c r="E288" s="210"/>
      <c r="F288" s="14"/>
      <c r="G288" s="14"/>
    </row>
    <row r="289" spans="2:7">
      <c r="B289" s="12"/>
      <c r="D289" s="13"/>
      <c r="E289" s="210"/>
      <c r="F289" s="14"/>
      <c r="G289" s="14"/>
    </row>
    <row r="290" spans="2:7">
      <c r="B290" s="12"/>
      <c r="D290" s="13"/>
      <c r="E290" s="210"/>
      <c r="F290" s="14"/>
      <c r="G290" s="14"/>
    </row>
    <row r="291" spans="2:7">
      <c r="B291" s="12"/>
      <c r="D291" s="13"/>
      <c r="E291" s="210"/>
      <c r="F291" s="14"/>
      <c r="G291" s="14"/>
    </row>
    <row r="292" spans="2:7">
      <c r="B292" s="12"/>
      <c r="D292" s="13"/>
      <c r="E292" s="210"/>
      <c r="F292" s="14"/>
      <c r="G292" s="14"/>
    </row>
    <row r="293" spans="2:7">
      <c r="B293" s="12"/>
      <c r="D293" s="13"/>
      <c r="E293" s="210"/>
      <c r="F293" s="14"/>
      <c r="G293" s="14"/>
    </row>
    <row r="294" spans="2:7">
      <c r="B294" s="12"/>
      <c r="D294" s="13"/>
      <c r="E294" s="210"/>
      <c r="F294" s="14"/>
      <c r="G294" s="14"/>
    </row>
    <row r="295" spans="2:7">
      <c r="B295" s="12"/>
      <c r="D295" s="13"/>
      <c r="E295" s="210"/>
      <c r="F295" s="14"/>
      <c r="G295" s="14"/>
    </row>
    <row r="296" spans="2:7">
      <c r="B296" s="12"/>
      <c r="D296" s="13"/>
      <c r="E296" s="210"/>
      <c r="F296" s="14"/>
      <c r="G296" s="14"/>
    </row>
    <row r="297" spans="2:7">
      <c r="B297" s="12"/>
      <c r="D297" s="13"/>
      <c r="E297" s="210"/>
      <c r="F297" s="14"/>
      <c r="G297" s="14"/>
    </row>
    <row r="298" spans="2:7">
      <c r="B298" s="12"/>
      <c r="D298" s="13"/>
      <c r="E298" s="210"/>
      <c r="F298" s="14"/>
      <c r="G298" s="14"/>
    </row>
    <row r="299" spans="2:7">
      <c r="B299" s="12"/>
      <c r="D299" s="13"/>
      <c r="E299" s="210"/>
      <c r="F299" s="14"/>
      <c r="G299" s="14"/>
    </row>
    <row r="300" spans="2:7">
      <c r="B300" s="12"/>
      <c r="D300" s="13"/>
      <c r="E300" s="210"/>
      <c r="F300" s="14"/>
      <c r="G300" s="14"/>
    </row>
    <row r="301" spans="2:7">
      <c r="B301" s="12"/>
      <c r="D301" s="13"/>
      <c r="E301" s="210"/>
      <c r="F301" s="14"/>
      <c r="G301" s="14"/>
    </row>
    <row r="302" spans="2:7">
      <c r="B302" s="12"/>
      <c r="D302" s="13"/>
      <c r="E302" s="210"/>
      <c r="F302" s="14"/>
      <c r="G302" s="14"/>
    </row>
    <row r="303" spans="2:7">
      <c r="B303" s="12"/>
      <c r="D303" s="13"/>
      <c r="E303" s="210"/>
      <c r="F303" s="14"/>
      <c r="G303" s="14"/>
    </row>
    <row r="304" spans="2:7">
      <c r="B304" s="12"/>
      <c r="D304" s="13"/>
      <c r="E304" s="210"/>
      <c r="F304" s="14"/>
      <c r="G304" s="14"/>
    </row>
    <row r="305" spans="2:7">
      <c r="B305" s="12"/>
      <c r="D305" s="13"/>
      <c r="E305" s="210"/>
      <c r="F305" s="14"/>
      <c r="G305" s="14"/>
    </row>
    <row r="306" spans="2:7">
      <c r="B306" s="12"/>
      <c r="D306" s="13"/>
      <c r="E306" s="210"/>
      <c r="F306" s="14"/>
      <c r="G306" s="14"/>
    </row>
    <row r="307" spans="2:7">
      <c r="B307" s="12"/>
      <c r="D307" s="13"/>
      <c r="E307" s="210"/>
      <c r="F307" s="14"/>
      <c r="G307" s="14"/>
    </row>
    <row r="308" spans="2:7">
      <c r="B308" s="12"/>
      <c r="D308" s="13"/>
      <c r="E308" s="210"/>
      <c r="F308" s="14"/>
      <c r="G308" s="14"/>
    </row>
    <row r="309" spans="2:7">
      <c r="B309" s="12"/>
      <c r="D309" s="13"/>
      <c r="E309" s="210"/>
      <c r="F309" s="14"/>
      <c r="G309" s="14"/>
    </row>
    <row r="310" spans="2:7">
      <c r="B310" s="12"/>
      <c r="D310" s="13"/>
      <c r="E310" s="210"/>
      <c r="F310" s="14"/>
      <c r="G310" s="14"/>
    </row>
    <row r="311" spans="2:7">
      <c r="B311" s="12"/>
      <c r="D311" s="13"/>
      <c r="E311" s="210"/>
      <c r="F311" s="14"/>
      <c r="G311" s="14"/>
    </row>
    <row r="312" spans="2:7">
      <c r="B312" s="12"/>
      <c r="D312" s="13"/>
      <c r="E312" s="210"/>
      <c r="F312" s="14"/>
      <c r="G312" s="14"/>
    </row>
    <row r="313" spans="2:7">
      <c r="B313" s="12"/>
      <c r="D313" s="13"/>
      <c r="E313" s="210"/>
      <c r="F313" s="14"/>
      <c r="G313" s="14"/>
    </row>
    <row r="314" spans="2:7">
      <c r="B314" s="12"/>
      <c r="D314" s="13"/>
      <c r="E314" s="210"/>
      <c r="F314" s="14"/>
      <c r="G314" s="14"/>
    </row>
    <row r="315" spans="2:7">
      <c r="B315" s="12"/>
      <c r="D315" s="13"/>
      <c r="E315" s="210"/>
      <c r="F315" s="14"/>
      <c r="G315" s="14"/>
    </row>
    <row r="316" spans="2:7">
      <c r="B316" s="12"/>
      <c r="D316" s="13"/>
      <c r="E316" s="210"/>
      <c r="F316" s="14"/>
      <c r="G316" s="14"/>
    </row>
    <row r="317" spans="2:7">
      <c r="B317" s="12"/>
      <c r="D317" s="13"/>
      <c r="E317" s="210"/>
      <c r="F317" s="14"/>
      <c r="G317" s="14"/>
    </row>
    <row r="318" spans="2:7">
      <c r="B318" s="12"/>
      <c r="D318" s="13"/>
      <c r="E318" s="210"/>
      <c r="F318" s="14"/>
      <c r="G318" s="14"/>
    </row>
    <row r="319" spans="2:7">
      <c r="B319" s="12"/>
      <c r="D319" s="13"/>
      <c r="E319" s="210"/>
      <c r="F319" s="14"/>
      <c r="G319" s="14"/>
    </row>
    <row r="320" spans="2:7">
      <c r="B320" s="12"/>
      <c r="D320" s="13"/>
      <c r="E320" s="210"/>
      <c r="F320" s="14"/>
      <c r="G320" s="14"/>
    </row>
    <row r="321" spans="2:7">
      <c r="B321" s="12"/>
      <c r="D321" s="13"/>
      <c r="E321" s="210"/>
      <c r="F321" s="14"/>
      <c r="G321" s="14"/>
    </row>
    <row r="322" spans="2:7">
      <c r="B322" s="12"/>
      <c r="D322" s="13"/>
      <c r="E322" s="210"/>
      <c r="F322" s="14"/>
      <c r="G322" s="14"/>
    </row>
    <row r="323" spans="2:7">
      <c r="B323" s="12"/>
      <c r="D323" s="13"/>
      <c r="E323" s="210"/>
      <c r="F323" s="14"/>
      <c r="G323" s="14"/>
    </row>
    <row r="324" spans="2:7">
      <c r="B324" s="12"/>
      <c r="D324" s="13"/>
      <c r="E324" s="210"/>
      <c r="F324" s="14"/>
      <c r="G324" s="14"/>
    </row>
    <row r="325" spans="2:7">
      <c r="B325" s="12"/>
      <c r="D325" s="13"/>
      <c r="E325" s="210"/>
      <c r="F325" s="14"/>
      <c r="G325" s="14"/>
    </row>
    <row r="326" spans="2:7">
      <c r="B326" s="12"/>
      <c r="D326" s="13"/>
      <c r="E326" s="210"/>
      <c r="F326" s="14"/>
      <c r="G326" s="14"/>
    </row>
    <row r="327" spans="2:7">
      <c r="B327" s="12"/>
      <c r="D327" s="13"/>
      <c r="E327" s="210"/>
      <c r="F327" s="14"/>
      <c r="G327" s="14"/>
    </row>
    <row r="328" spans="2:7">
      <c r="B328" s="12"/>
      <c r="D328" s="13"/>
      <c r="E328" s="210"/>
      <c r="F328" s="14"/>
      <c r="G328" s="14"/>
    </row>
    <row r="329" spans="2:7">
      <c r="B329" s="12"/>
      <c r="D329" s="13"/>
      <c r="E329" s="210"/>
      <c r="F329" s="14"/>
      <c r="G329" s="14"/>
    </row>
    <row r="330" spans="2:7">
      <c r="B330" s="12"/>
      <c r="D330" s="13"/>
      <c r="E330" s="210"/>
      <c r="F330" s="14"/>
      <c r="G330" s="14"/>
    </row>
    <row r="331" spans="2:7">
      <c r="B331" s="12"/>
      <c r="D331" s="13"/>
      <c r="E331" s="210"/>
      <c r="F331" s="14"/>
      <c r="G331" s="14"/>
    </row>
    <row r="332" spans="2:7">
      <c r="B332" s="12"/>
      <c r="D332" s="13"/>
      <c r="E332" s="210"/>
      <c r="F332" s="14"/>
      <c r="G332" s="14"/>
    </row>
    <row r="333" spans="2:7">
      <c r="B333" s="12"/>
      <c r="D333" s="13"/>
      <c r="E333" s="210"/>
      <c r="F333" s="14"/>
      <c r="G333" s="14"/>
    </row>
    <row r="334" spans="2:7">
      <c r="B334" s="12"/>
      <c r="D334" s="13"/>
      <c r="E334" s="210"/>
      <c r="F334" s="14"/>
      <c r="G334" s="14"/>
    </row>
    <row r="335" spans="2:7">
      <c r="B335" s="12"/>
      <c r="D335" s="13"/>
      <c r="E335" s="210"/>
      <c r="F335" s="14"/>
      <c r="G335" s="14"/>
    </row>
    <row r="336" spans="2:7">
      <c r="B336" s="12"/>
      <c r="D336" s="13"/>
      <c r="E336" s="210"/>
      <c r="F336" s="14"/>
      <c r="G336" s="14"/>
    </row>
    <row r="337" spans="2:7">
      <c r="B337" s="12"/>
      <c r="D337" s="13"/>
      <c r="E337" s="210"/>
      <c r="F337" s="14"/>
      <c r="G337" s="14"/>
    </row>
    <row r="338" spans="2:7">
      <c r="B338" s="12"/>
      <c r="D338" s="13"/>
      <c r="E338" s="210"/>
      <c r="F338" s="14"/>
      <c r="G338" s="14"/>
    </row>
    <row r="339" spans="2:7">
      <c r="B339" s="12"/>
      <c r="D339" s="13"/>
      <c r="E339" s="210"/>
      <c r="F339" s="14"/>
      <c r="G339" s="14"/>
    </row>
    <row r="340" spans="2:7">
      <c r="B340" s="12"/>
      <c r="D340" s="13"/>
      <c r="E340" s="210"/>
      <c r="F340" s="14"/>
      <c r="G340" s="14"/>
    </row>
    <row r="341" spans="2:7">
      <c r="B341" s="12"/>
      <c r="D341" s="13"/>
      <c r="E341" s="210"/>
      <c r="F341" s="14"/>
      <c r="G341" s="14"/>
    </row>
    <row r="342" spans="2:7">
      <c r="B342" s="12"/>
      <c r="D342" s="13"/>
      <c r="E342" s="210"/>
      <c r="F342" s="14"/>
      <c r="G342" s="14"/>
    </row>
    <row r="343" spans="2:7">
      <c r="B343" s="12"/>
      <c r="D343" s="13"/>
      <c r="E343" s="210"/>
      <c r="F343" s="14"/>
      <c r="G343" s="14"/>
    </row>
    <row r="344" spans="2:7">
      <c r="B344" s="12"/>
      <c r="D344" s="13"/>
      <c r="E344" s="210"/>
      <c r="F344" s="14"/>
      <c r="G344" s="14"/>
    </row>
    <row r="345" spans="2:7">
      <c r="B345" s="12"/>
      <c r="D345" s="13"/>
      <c r="E345" s="210"/>
      <c r="F345" s="14"/>
      <c r="G345" s="14"/>
    </row>
    <row r="346" spans="2:7">
      <c r="B346" s="12"/>
      <c r="D346" s="13"/>
      <c r="E346" s="210"/>
      <c r="F346" s="14"/>
      <c r="G346" s="14"/>
    </row>
    <row r="347" spans="2:7">
      <c r="B347" s="12"/>
      <c r="D347" s="13"/>
      <c r="E347" s="210"/>
      <c r="F347" s="14"/>
      <c r="G347" s="14"/>
    </row>
    <row r="348" spans="2:7">
      <c r="B348" s="12"/>
      <c r="D348" s="13"/>
      <c r="E348" s="210"/>
      <c r="F348" s="14"/>
      <c r="G348" s="14"/>
    </row>
    <row r="349" spans="2:7">
      <c r="B349" s="12"/>
      <c r="D349" s="13"/>
      <c r="E349" s="210"/>
      <c r="F349" s="14"/>
      <c r="G349" s="14"/>
    </row>
    <row r="350" spans="2:7">
      <c r="B350" s="12"/>
      <c r="D350" s="13"/>
      <c r="E350" s="210"/>
      <c r="F350" s="14"/>
      <c r="G350" s="14"/>
    </row>
    <row r="351" spans="2:7">
      <c r="B351" s="12"/>
      <c r="D351" s="13"/>
      <c r="E351" s="210"/>
      <c r="F351" s="14"/>
      <c r="G351" s="14"/>
    </row>
    <row r="352" spans="2:7">
      <c r="B352" s="12"/>
      <c r="D352" s="13"/>
      <c r="E352" s="210"/>
      <c r="F352" s="14"/>
      <c r="G352" s="14"/>
    </row>
    <row r="353" spans="2:7">
      <c r="B353" s="12"/>
      <c r="D353" s="13"/>
      <c r="E353" s="210"/>
      <c r="F353" s="14"/>
      <c r="G353" s="14"/>
    </row>
    <row r="354" spans="2:7">
      <c r="B354" s="12"/>
      <c r="D354" s="13"/>
      <c r="E354" s="210"/>
      <c r="F354" s="14"/>
      <c r="G354" s="14"/>
    </row>
    <row r="355" spans="2:7">
      <c r="B355" s="12"/>
      <c r="D355" s="13"/>
      <c r="E355" s="210"/>
      <c r="F355" s="14"/>
      <c r="G355" s="14"/>
    </row>
    <row r="356" spans="2:7">
      <c r="B356" s="12"/>
      <c r="D356" s="13"/>
      <c r="E356" s="210"/>
      <c r="F356" s="14"/>
      <c r="G356" s="14"/>
    </row>
    <row r="357" spans="2:7">
      <c r="B357" s="12"/>
      <c r="D357" s="13"/>
      <c r="E357" s="210"/>
      <c r="F357" s="14"/>
      <c r="G357" s="14"/>
    </row>
    <row r="358" spans="2:7">
      <c r="B358" s="12"/>
      <c r="D358" s="13"/>
      <c r="E358" s="210"/>
      <c r="F358" s="14"/>
      <c r="G358" s="14"/>
    </row>
    <row r="359" spans="2:7">
      <c r="B359" s="12"/>
      <c r="D359" s="13"/>
      <c r="E359" s="210"/>
      <c r="F359" s="14"/>
      <c r="G359" s="14"/>
    </row>
    <row r="360" spans="2:7">
      <c r="B360" s="12"/>
      <c r="D360" s="13"/>
      <c r="E360" s="210"/>
      <c r="F360" s="14"/>
      <c r="G360" s="14"/>
    </row>
    <row r="361" spans="2:7">
      <c r="B361" s="12"/>
      <c r="D361" s="13"/>
      <c r="E361" s="210"/>
      <c r="F361" s="14"/>
      <c r="G361" s="14"/>
    </row>
    <row r="362" spans="2:7">
      <c r="B362" s="12"/>
      <c r="D362" s="13"/>
      <c r="E362" s="210"/>
      <c r="F362" s="14"/>
      <c r="G362" s="14"/>
    </row>
    <row r="363" spans="2:7">
      <c r="B363" s="12"/>
      <c r="D363" s="13"/>
      <c r="E363" s="210"/>
      <c r="F363" s="14"/>
      <c r="G363" s="14"/>
    </row>
    <row r="364" spans="2:7">
      <c r="B364" s="12"/>
      <c r="D364" s="13"/>
      <c r="E364" s="210"/>
      <c r="F364" s="14"/>
      <c r="G364" s="14"/>
    </row>
    <row r="365" spans="2:7">
      <c r="B365" s="12"/>
      <c r="D365" s="13"/>
      <c r="E365" s="210"/>
      <c r="F365" s="14"/>
      <c r="G365" s="14"/>
    </row>
    <row r="366" spans="2:7">
      <c r="B366" s="12"/>
      <c r="D366" s="13"/>
      <c r="E366" s="210"/>
      <c r="F366" s="14"/>
      <c r="G366" s="14"/>
    </row>
    <row r="367" spans="2:7">
      <c r="B367" s="12"/>
      <c r="D367" s="13"/>
      <c r="E367" s="210"/>
      <c r="F367" s="14"/>
      <c r="G367" s="14"/>
    </row>
    <row r="368" spans="2:7">
      <c r="B368" s="12"/>
      <c r="D368" s="13"/>
      <c r="E368" s="210"/>
      <c r="F368" s="14"/>
      <c r="G368" s="14"/>
    </row>
    <row r="369" spans="2:7">
      <c r="B369" s="12"/>
      <c r="D369" s="13"/>
      <c r="E369" s="210"/>
      <c r="F369" s="14"/>
      <c r="G369" s="14"/>
    </row>
    <row r="370" spans="2:7">
      <c r="B370" s="12"/>
      <c r="D370" s="13"/>
      <c r="E370" s="210"/>
      <c r="F370" s="14"/>
      <c r="G370" s="14"/>
    </row>
    <row r="371" spans="2:7">
      <c r="B371" s="12"/>
      <c r="D371" s="13"/>
      <c r="E371" s="210"/>
      <c r="F371" s="14"/>
      <c r="G371" s="14"/>
    </row>
    <row r="372" spans="2:7">
      <c r="B372" s="12"/>
      <c r="D372" s="13"/>
      <c r="E372" s="210"/>
      <c r="F372" s="14"/>
      <c r="G372" s="14"/>
    </row>
    <row r="373" spans="2:7">
      <c r="B373" s="12"/>
      <c r="D373" s="13"/>
      <c r="E373" s="210"/>
      <c r="F373" s="14"/>
      <c r="G373" s="14"/>
    </row>
    <row r="374" spans="2:7">
      <c r="B374" s="12"/>
      <c r="D374" s="13"/>
      <c r="E374" s="210"/>
      <c r="F374" s="14"/>
      <c r="G374" s="14"/>
    </row>
    <row r="375" spans="2:7">
      <c r="B375" s="12"/>
      <c r="D375" s="13"/>
      <c r="E375" s="210"/>
      <c r="F375" s="14"/>
      <c r="G375" s="14"/>
    </row>
    <row r="376" spans="2:7">
      <c r="B376" s="12"/>
      <c r="D376" s="13"/>
      <c r="E376" s="210"/>
      <c r="F376" s="14"/>
      <c r="G376" s="14"/>
    </row>
    <row r="377" spans="2:7">
      <c r="B377" s="12"/>
      <c r="D377" s="13"/>
      <c r="E377" s="210"/>
      <c r="F377" s="14"/>
      <c r="G377" s="14"/>
    </row>
    <row r="378" spans="2:7">
      <c r="B378" s="12"/>
      <c r="D378" s="13"/>
      <c r="E378" s="210"/>
      <c r="F378" s="14"/>
      <c r="G378" s="14"/>
    </row>
    <row r="379" spans="2:7">
      <c r="B379" s="12"/>
      <c r="D379" s="13"/>
      <c r="E379" s="210"/>
      <c r="F379" s="14"/>
      <c r="G379" s="14"/>
    </row>
    <row r="380" spans="2:7">
      <c r="B380" s="12"/>
      <c r="D380" s="13"/>
      <c r="E380" s="210"/>
      <c r="F380" s="14"/>
      <c r="G380" s="14"/>
    </row>
    <row r="381" spans="2:7">
      <c r="B381" s="12"/>
      <c r="D381" s="13"/>
      <c r="E381" s="210"/>
      <c r="F381" s="14"/>
      <c r="G381" s="14"/>
    </row>
    <row r="382" spans="2:7">
      <c r="B382" s="12"/>
      <c r="D382" s="13"/>
      <c r="E382" s="210"/>
      <c r="F382" s="14"/>
      <c r="G382" s="14"/>
    </row>
    <row r="383" spans="2:7">
      <c r="B383" s="12"/>
      <c r="D383" s="13"/>
      <c r="E383" s="210"/>
      <c r="F383" s="14"/>
      <c r="G383" s="14"/>
    </row>
    <row r="384" spans="2:7">
      <c r="B384" s="12"/>
      <c r="D384" s="13"/>
      <c r="E384" s="210"/>
      <c r="F384" s="14"/>
      <c r="G384" s="14"/>
    </row>
    <row r="385" spans="2:7">
      <c r="B385" s="12"/>
      <c r="D385" s="13"/>
      <c r="E385" s="210"/>
      <c r="F385" s="14"/>
      <c r="G385" s="14"/>
    </row>
    <row r="386" spans="2:7">
      <c r="B386" s="12"/>
      <c r="D386" s="13"/>
      <c r="E386" s="210"/>
      <c r="F386" s="14"/>
      <c r="G386" s="14"/>
    </row>
    <row r="387" spans="2:7">
      <c r="B387" s="12"/>
      <c r="D387" s="13"/>
      <c r="E387" s="210"/>
      <c r="F387" s="14"/>
      <c r="G387" s="14"/>
    </row>
    <row r="388" spans="2:7">
      <c r="B388" s="12"/>
      <c r="D388" s="13"/>
      <c r="E388" s="210"/>
      <c r="F388" s="14"/>
      <c r="G388" s="14"/>
    </row>
    <row r="389" spans="2:7">
      <c r="B389" s="12"/>
      <c r="D389" s="13"/>
      <c r="E389" s="210"/>
      <c r="F389" s="14"/>
      <c r="G389" s="14"/>
    </row>
    <row r="390" spans="2:7">
      <c r="B390" s="12"/>
      <c r="D390" s="13"/>
      <c r="E390" s="210"/>
      <c r="F390" s="14"/>
      <c r="G390" s="14"/>
    </row>
    <row r="391" spans="2:7">
      <c r="B391" s="12"/>
      <c r="D391" s="13"/>
      <c r="E391" s="210"/>
      <c r="F391" s="14"/>
      <c r="G391" s="14"/>
    </row>
    <row r="392" spans="2:7">
      <c r="B392" s="12"/>
      <c r="D392" s="13"/>
      <c r="E392" s="210"/>
      <c r="F392" s="14"/>
      <c r="G392" s="14"/>
    </row>
    <row r="393" spans="2:7">
      <c r="B393" s="12"/>
      <c r="D393" s="13"/>
      <c r="E393" s="210"/>
      <c r="F393" s="14"/>
      <c r="G393" s="14"/>
    </row>
    <row r="394" spans="2:7">
      <c r="B394" s="12"/>
      <c r="D394" s="13"/>
      <c r="E394" s="210"/>
      <c r="F394" s="14"/>
      <c r="G394" s="14"/>
    </row>
    <row r="395" spans="2:7">
      <c r="B395" s="12"/>
      <c r="D395" s="13"/>
      <c r="E395" s="210"/>
      <c r="F395" s="14"/>
      <c r="G395" s="14"/>
    </row>
    <row r="396" spans="2:7">
      <c r="B396" s="12"/>
      <c r="D396" s="13"/>
      <c r="E396" s="210"/>
      <c r="F396" s="14"/>
      <c r="G396" s="14"/>
    </row>
    <row r="397" spans="2:7">
      <c r="B397" s="12"/>
      <c r="D397" s="13"/>
      <c r="E397" s="210"/>
      <c r="F397" s="14"/>
      <c r="G397" s="14"/>
    </row>
    <row r="398" spans="2:7">
      <c r="B398" s="12"/>
      <c r="D398" s="13"/>
      <c r="E398" s="210"/>
      <c r="F398" s="14"/>
      <c r="G398" s="14"/>
    </row>
    <row r="399" spans="2:7">
      <c r="B399" s="12"/>
      <c r="D399" s="13"/>
      <c r="E399" s="210"/>
      <c r="F399" s="14"/>
      <c r="G399" s="14"/>
    </row>
    <row r="400" spans="2:7">
      <c r="B400" s="12"/>
      <c r="D400" s="13"/>
      <c r="E400" s="210"/>
      <c r="F400" s="14"/>
      <c r="G400" s="14"/>
    </row>
    <row r="401" spans="2:7">
      <c r="B401" s="12"/>
      <c r="D401" s="13"/>
      <c r="E401" s="210"/>
      <c r="F401" s="14"/>
      <c r="G401" s="14"/>
    </row>
    <row r="402" spans="2:7">
      <c r="B402" s="12"/>
      <c r="D402" s="13"/>
      <c r="E402" s="210"/>
      <c r="F402" s="14"/>
      <c r="G402" s="14"/>
    </row>
    <row r="403" spans="2:7">
      <c r="B403" s="12"/>
      <c r="D403" s="13"/>
      <c r="E403" s="210"/>
      <c r="F403" s="14"/>
      <c r="G403" s="14"/>
    </row>
    <row r="404" spans="2:7">
      <c r="B404" s="12"/>
      <c r="D404" s="13"/>
      <c r="E404" s="210"/>
      <c r="F404" s="14"/>
      <c r="G404" s="14"/>
    </row>
    <row r="405" spans="2:7">
      <c r="B405" s="12"/>
      <c r="D405" s="13"/>
      <c r="E405" s="210"/>
      <c r="F405" s="14"/>
      <c r="G405" s="14"/>
    </row>
    <row r="406" spans="2:7">
      <c r="B406" s="12"/>
      <c r="D406" s="13"/>
      <c r="E406" s="210"/>
      <c r="F406" s="14"/>
      <c r="G406" s="14"/>
    </row>
    <row r="407" spans="2:7">
      <c r="B407" s="12"/>
      <c r="D407" s="13"/>
      <c r="E407" s="210"/>
      <c r="F407" s="14"/>
      <c r="G407" s="14"/>
    </row>
    <row r="408" spans="2:7">
      <c r="B408" s="12"/>
      <c r="D408" s="13"/>
      <c r="E408" s="210"/>
      <c r="F408" s="14"/>
      <c r="G408" s="14"/>
    </row>
    <row r="409" spans="2:7">
      <c r="B409" s="12"/>
      <c r="D409" s="13"/>
      <c r="E409" s="210"/>
      <c r="F409" s="14"/>
      <c r="G409" s="14"/>
    </row>
    <row r="410" spans="2:7">
      <c r="B410" s="12"/>
      <c r="D410" s="13"/>
      <c r="E410" s="210"/>
      <c r="F410" s="14"/>
      <c r="G410" s="14"/>
    </row>
    <row r="411" spans="2:7">
      <c r="B411" s="12"/>
      <c r="D411" s="13"/>
      <c r="E411" s="210"/>
      <c r="F411" s="14"/>
      <c r="G411" s="14"/>
    </row>
    <row r="412" spans="2:7">
      <c r="B412" s="12"/>
      <c r="D412" s="13"/>
      <c r="E412" s="210"/>
      <c r="F412" s="14"/>
      <c r="G412" s="14"/>
    </row>
    <row r="413" spans="2:7">
      <c r="B413" s="12"/>
      <c r="D413" s="13"/>
      <c r="E413" s="210"/>
      <c r="F413" s="14"/>
      <c r="G413" s="14"/>
    </row>
    <row r="414" spans="2:7">
      <c r="B414" s="12"/>
      <c r="D414" s="13"/>
      <c r="E414" s="210"/>
      <c r="F414" s="14"/>
      <c r="G414" s="14"/>
    </row>
    <row r="415" spans="2:7">
      <c r="B415" s="12"/>
      <c r="D415" s="13"/>
      <c r="E415" s="210"/>
      <c r="F415" s="14"/>
      <c r="G415" s="14"/>
    </row>
    <row r="416" spans="2:7">
      <c r="B416" s="12"/>
      <c r="D416" s="13"/>
      <c r="E416" s="210"/>
      <c r="F416" s="14"/>
      <c r="G416" s="14"/>
    </row>
    <row r="417" spans="2:7">
      <c r="B417" s="12"/>
      <c r="D417" s="13"/>
      <c r="E417" s="210"/>
      <c r="F417" s="14"/>
      <c r="G417" s="14"/>
    </row>
    <row r="418" spans="2:7">
      <c r="B418" s="12"/>
      <c r="D418" s="13"/>
      <c r="E418" s="210"/>
      <c r="F418" s="14"/>
      <c r="G418" s="14"/>
    </row>
    <row r="419" spans="2:7">
      <c r="B419" s="12"/>
      <c r="D419" s="13"/>
      <c r="E419" s="210"/>
      <c r="F419" s="14"/>
      <c r="G419" s="14"/>
    </row>
    <row r="420" spans="2:7">
      <c r="B420" s="12"/>
      <c r="D420" s="13"/>
      <c r="E420" s="210"/>
      <c r="F420" s="14"/>
      <c r="G420" s="14"/>
    </row>
    <row r="421" spans="2:7">
      <c r="B421" s="12"/>
      <c r="D421" s="13"/>
      <c r="E421" s="210"/>
      <c r="F421" s="14"/>
      <c r="G421" s="14"/>
    </row>
    <row r="422" spans="2:7">
      <c r="B422" s="12"/>
      <c r="D422" s="13"/>
      <c r="E422" s="210"/>
      <c r="F422" s="14"/>
      <c r="G422" s="14"/>
    </row>
    <row r="423" spans="2:7">
      <c r="B423" s="12"/>
      <c r="D423" s="13"/>
      <c r="E423" s="210"/>
      <c r="F423" s="14"/>
      <c r="G423" s="14"/>
    </row>
    <row r="424" spans="2:7">
      <c r="B424" s="12"/>
      <c r="D424" s="13"/>
      <c r="E424" s="210"/>
      <c r="F424" s="14"/>
      <c r="G424" s="14"/>
    </row>
    <row r="425" spans="2:7">
      <c r="B425" s="12"/>
      <c r="D425" s="13"/>
      <c r="E425" s="210"/>
      <c r="F425" s="14"/>
      <c r="G425" s="14"/>
    </row>
    <row r="426" spans="2:7">
      <c r="B426" s="12"/>
      <c r="D426" s="13"/>
      <c r="E426" s="210"/>
      <c r="F426" s="14"/>
      <c r="G426" s="14"/>
    </row>
    <row r="427" spans="2:7">
      <c r="B427" s="12"/>
      <c r="D427" s="13"/>
      <c r="E427" s="210"/>
      <c r="F427" s="14"/>
      <c r="G427" s="14"/>
    </row>
    <row r="428" spans="2:7">
      <c r="B428" s="12"/>
      <c r="D428" s="13"/>
      <c r="E428" s="210"/>
      <c r="F428" s="14"/>
      <c r="G428" s="14"/>
    </row>
    <row r="429" spans="2:7">
      <c r="B429" s="12"/>
      <c r="D429" s="13"/>
      <c r="E429" s="210"/>
      <c r="F429" s="14"/>
      <c r="G429" s="14"/>
    </row>
    <row r="430" spans="2:7">
      <c r="B430" s="12"/>
      <c r="D430" s="13"/>
      <c r="E430" s="210"/>
      <c r="F430" s="14"/>
      <c r="G430" s="14"/>
    </row>
    <row r="431" spans="2:7">
      <c r="B431" s="12"/>
      <c r="D431" s="13"/>
      <c r="E431" s="210"/>
      <c r="F431" s="14"/>
      <c r="G431" s="14"/>
    </row>
    <row r="432" spans="2:7">
      <c r="B432" s="12"/>
      <c r="D432" s="13"/>
      <c r="E432" s="210"/>
      <c r="F432" s="14"/>
      <c r="G432" s="14"/>
    </row>
    <row r="433" spans="2:7">
      <c r="B433" s="12"/>
      <c r="D433" s="13"/>
      <c r="E433" s="210"/>
      <c r="F433" s="14"/>
      <c r="G433" s="14"/>
    </row>
    <row r="434" spans="2:7">
      <c r="B434" s="12"/>
      <c r="D434" s="13"/>
      <c r="E434" s="210"/>
      <c r="F434" s="14"/>
      <c r="G434" s="14"/>
    </row>
    <row r="435" spans="2:7">
      <c r="B435" s="12"/>
      <c r="D435" s="13"/>
      <c r="E435" s="210"/>
      <c r="F435" s="14"/>
      <c r="G435" s="14"/>
    </row>
    <row r="436" spans="2:7">
      <c r="B436" s="12"/>
      <c r="D436" s="13"/>
      <c r="E436" s="210"/>
      <c r="F436" s="14"/>
      <c r="G436" s="14"/>
    </row>
    <row r="437" spans="2:7">
      <c r="B437" s="12"/>
      <c r="D437" s="13"/>
      <c r="E437" s="210"/>
      <c r="F437" s="14"/>
      <c r="G437" s="14"/>
    </row>
    <row r="438" spans="2:7">
      <c r="B438" s="12"/>
      <c r="D438" s="13"/>
      <c r="E438" s="210"/>
      <c r="F438" s="14"/>
      <c r="G438" s="14"/>
    </row>
    <row r="439" spans="2:7">
      <c r="B439" s="12"/>
      <c r="D439" s="13"/>
      <c r="E439" s="210"/>
      <c r="F439" s="14"/>
      <c r="G439" s="14"/>
    </row>
    <row r="440" spans="2:7">
      <c r="B440" s="12"/>
      <c r="D440" s="13"/>
      <c r="E440" s="210"/>
      <c r="F440" s="14"/>
      <c r="G440" s="14"/>
    </row>
    <row r="441" spans="2:7">
      <c r="B441" s="12"/>
      <c r="D441" s="13"/>
      <c r="E441" s="210"/>
      <c r="F441" s="14"/>
      <c r="G441" s="14"/>
    </row>
    <row r="442" spans="2:7">
      <c r="B442" s="12"/>
      <c r="D442" s="13"/>
      <c r="E442" s="210"/>
      <c r="F442" s="14"/>
      <c r="G442" s="14"/>
    </row>
    <row r="443" spans="2:7">
      <c r="B443" s="12"/>
      <c r="D443" s="13"/>
      <c r="E443" s="210"/>
      <c r="F443" s="14"/>
      <c r="G443" s="14"/>
    </row>
    <row r="444" spans="2:7">
      <c r="B444" s="12"/>
      <c r="D444" s="13"/>
      <c r="E444" s="210"/>
      <c r="F444" s="14"/>
      <c r="G444" s="14"/>
    </row>
    <row r="445" spans="2:7">
      <c r="B445" s="12"/>
      <c r="D445" s="13"/>
      <c r="E445" s="210"/>
      <c r="F445" s="14"/>
      <c r="G445" s="14"/>
    </row>
    <row r="446" spans="2:7">
      <c r="B446" s="12"/>
      <c r="D446" s="13"/>
      <c r="E446" s="210"/>
      <c r="F446" s="14"/>
      <c r="G446" s="14"/>
    </row>
    <row r="447" spans="2:7">
      <c r="B447" s="12"/>
      <c r="D447" s="13"/>
      <c r="E447" s="210"/>
      <c r="F447" s="14"/>
      <c r="G447" s="14"/>
    </row>
    <row r="448" spans="2:7">
      <c r="B448" s="12"/>
      <c r="D448" s="13"/>
      <c r="E448" s="210"/>
      <c r="F448" s="14"/>
      <c r="G448" s="14"/>
    </row>
    <row r="449" spans="2:7">
      <c r="B449" s="12"/>
      <c r="D449" s="13"/>
      <c r="E449" s="210"/>
      <c r="F449" s="14"/>
      <c r="G449" s="14"/>
    </row>
    <row r="450" spans="2:7">
      <c r="B450" s="12"/>
      <c r="D450" s="13"/>
      <c r="E450" s="210"/>
      <c r="F450" s="14"/>
      <c r="G450" s="14"/>
    </row>
    <row r="451" spans="2:7">
      <c r="B451" s="12"/>
      <c r="D451" s="13"/>
      <c r="E451" s="210"/>
      <c r="F451" s="14"/>
      <c r="G451" s="14"/>
    </row>
    <row r="452" spans="2:7">
      <c r="B452" s="12"/>
      <c r="D452" s="13"/>
      <c r="E452" s="210"/>
      <c r="F452" s="14"/>
      <c r="G452" s="14"/>
    </row>
    <row r="453" spans="2:7">
      <c r="B453" s="12"/>
      <c r="D453" s="13"/>
      <c r="E453" s="210"/>
      <c r="F453" s="14"/>
      <c r="G453" s="14"/>
    </row>
    <row r="454" spans="2:7">
      <c r="B454" s="12"/>
      <c r="D454" s="13"/>
      <c r="E454" s="210"/>
      <c r="F454" s="14"/>
      <c r="G454" s="14"/>
    </row>
    <row r="455" spans="2:7">
      <c r="B455" s="12"/>
      <c r="D455" s="13"/>
      <c r="E455" s="210"/>
      <c r="F455" s="14"/>
      <c r="G455" s="14"/>
    </row>
    <row r="456" spans="2:7">
      <c r="B456" s="12"/>
      <c r="D456" s="13"/>
      <c r="E456" s="210"/>
      <c r="F456" s="14"/>
      <c r="G456" s="14"/>
    </row>
    <row r="457" spans="2:7">
      <c r="B457" s="12"/>
      <c r="D457" s="13"/>
      <c r="E457" s="210"/>
      <c r="F457" s="14"/>
      <c r="G457" s="14"/>
    </row>
    <row r="458" spans="2:7">
      <c r="B458" s="12"/>
      <c r="D458" s="13"/>
      <c r="E458" s="210"/>
      <c r="F458" s="14"/>
      <c r="G458" s="14"/>
    </row>
    <row r="459" spans="2:7">
      <c r="B459" s="12"/>
      <c r="D459" s="13"/>
      <c r="E459" s="210"/>
      <c r="F459" s="14"/>
      <c r="G459" s="14"/>
    </row>
    <row r="460" spans="2:7">
      <c r="B460" s="12"/>
      <c r="D460" s="13"/>
      <c r="E460" s="210"/>
      <c r="F460" s="14"/>
      <c r="G460" s="14"/>
    </row>
    <row r="461" spans="2:7">
      <c r="B461" s="12"/>
      <c r="D461" s="13"/>
      <c r="E461" s="210"/>
      <c r="F461" s="14"/>
      <c r="G461" s="14"/>
    </row>
    <row r="462" spans="2:7">
      <c r="B462" s="12"/>
      <c r="D462" s="13"/>
      <c r="E462" s="210"/>
      <c r="F462" s="14"/>
      <c r="G462" s="14"/>
    </row>
    <row r="463" spans="2:7">
      <c r="B463" s="12"/>
      <c r="D463" s="13"/>
      <c r="E463" s="210"/>
      <c r="F463" s="14"/>
      <c r="G463" s="14"/>
    </row>
    <row r="464" spans="2:7">
      <c r="B464" s="12"/>
      <c r="D464" s="13"/>
      <c r="E464" s="210"/>
      <c r="F464" s="14"/>
      <c r="G464" s="14"/>
    </row>
    <row r="465" spans="2:7">
      <c r="B465" s="12"/>
      <c r="D465" s="13"/>
      <c r="E465" s="210"/>
      <c r="F465" s="14"/>
      <c r="G465" s="14"/>
    </row>
    <row r="466" spans="2:7">
      <c r="B466" s="12"/>
      <c r="D466" s="13"/>
      <c r="E466" s="210"/>
      <c r="F466" s="14"/>
      <c r="G466" s="14"/>
    </row>
    <row r="467" spans="2:7">
      <c r="B467" s="12"/>
      <c r="D467" s="13"/>
      <c r="E467" s="210"/>
      <c r="F467" s="14"/>
      <c r="G467" s="14"/>
    </row>
    <row r="468" spans="2:7">
      <c r="B468" s="12"/>
      <c r="D468" s="13"/>
      <c r="E468" s="210"/>
      <c r="F468" s="14"/>
      <c r="G468" s="14"/>
    </row>
    <row r="469" spans="2:7">
      <c r="B469" s="12"/>
      <c r="D469" s="13"/>
      <c r="E469" s="210"/>
      <c r="F469" s="14"/>
      <c r="G469" s="14"/>
    </row>
    <row r="470" spans="2:7">
      <c r="B470" s="12"/>
      <c r="D470" s="13"/>
      <c r="E470" s="210"/>
      <c r="F470" s="14"/>
      <c r="G470" s="14"/>
    </row>
    <row r="471" spans="2:7">
      <c r="B471" s="12"/>
      <c r="D471" s="13"/>
      <c r="E471" s="210"/>
      <c r="F471" s="14"/>
      <c r="G471" s="14"/>
    </row>
    <row r="472" spans="2:7">
      <c r="B472" s="12"/>
      <c r="D472" s="13"/>
      <c r="E472" s="210"/>
      <c r="F472" s="14"/>
      <c r="G472" s="14"/>
    </row>
    <row r="473" spans="2:7">
      <c r="B473" s="12"/>
      <c r="D473" s="13"/>
      <c r="E473" s="210"/>
      <c r="F473" s="14"/>
      <c r="G473" s="14"/>
    </row>
    <row r="474" spans="2:7">
      <c r="B474" s="12"/>
      <c r="D474" s="13"/>
      <c r="E474" s="210"/>
      <c r="F474" s="14"/>
      <c r="G474" s="14"/>
    </row>
    <row r="475" spans="2:7">
      <c r="B475" s="12"/>
      <c r="D475" s="13"/>
      <c r="E475" s="210"/>
      <c r="F475" s="14"/>
      <c r="G475" s="14"/>
    </row>
    <row r="476" spans="2:7">
      <c r="B476" s="12"/>
      <c r="D476" s="13"/>
      <c r="E476" s="210"/>
      <c r="F476" s="14"/>
      <c r="G476" s="14"/>
    </row>
    <row r="477" spans="2:7">
      <c r="B477" s="12"/>
      <c r="D477" s="13"/>
      <c r="E477" s="210"/>
      <c r="F477" s="14"/>
      <c r="G477" s="14"/>
    </row>
    <row r="478" spans="2:7">
      <c r="B478" s="12"/>
      <c r="D478" s="13"/>
      <c r="E478" s="210"/>
      <c r="F478" s="14"/>
      <c r="G478" s="14"/>
    </row>
    <row r="479" spans="2:7">
      <c r="B479" s="12"/>
      <c r="D479" s="13"/>
      <c r="E479" s="210"/>
      <c r="F479" s="14"/>
      <c r="G479" s="14"/>
    </row>
    <row r="480" spans="2:7">
      <c r="B480" s="12"/>
      <c r="D480" s="13"/>
      <c r="E480" s="210"/>
      <c r="F480" s="14"/>
      <c r="G480" s="14"/>
    </row>
    <row r="481" spans="2:7">
      <c r="B481" s="12"/>
      <c r="D481" s="13"/>
      <c r="E481" s="210"/>
      <c r="F481" s="14"/>
      <c r="G481" s="14"/>
    </row>
    <row r="482" spans="2:7">
      <c r="B482" s="12"/>
      <c r="D482" s="13"/>
      <c r="E482" s="210"/>
      <c r="F482" s="14"/>
      <c r="G482" s="14"/>
    </row>
    <row r="483" spans="2:7">
      <c r="B483" s="12"/>
      <c r="D483" s="13"/>
      <c r="E483" s="210"/>
      <c r="F483" s="14"/>
      <c r="G483" s="14"/>
    </row>
    <row r="484" spans="2:7">
      <c r="B484" s="12"/>
      <c r="D484" s="13"/>
      <c r="E484" s="210"/>
      <c r="F484" s="14"/>
      <c r="G484" s="14"/>
    </row>
    <row r="485" spans="2:7">
      <c r="B485" s="12"/>
      <c r="D485" s="13"/>
      <c r="E485" s="210"/>
      <c r="F485" s="14"/>
      <c r="G485" s="14"/>
    </row>
    <row r="486" spans="2:7">
      <c r="B486" s="12"/>
      <c r="D486" s="13"/>
      <c r="E486" s="210"/>
      <c r="F486" s="14"/>
      <c r="G486" s="14"/>
    </row>
    <row r="487" spans="2:7">
      <c r="B487" s="12"/>
      <c r="D487" s="13"/>
      <c r="E487" s="210"/>
      <c r="F487" s="14"/>
      <c r="G487" s="14"/>
    </row>
    <row r="488" spans="2:7">
      <c r="B488" s="12"/>
      <c r="D488" s="13"/>
      <c r="E488" s="210"/>
      <c r="F488" s="14"/>
      <c r="G488" s="14"/>
    </row>
    <row r="489" spans="2:7">
      <c r="B489" s="12"/>
      <c r="D489" s="13"/>
      <c r="E489" s="210"/>
      <c r="F489" s="14"/>
      <c r="G489" s="14"/>
    </row>
    <row r="490" spans="2:7">
      <c r="B490" s="12"/>
      <c r="D490" s="13"/>
      <c r="E490" s="210"/>
      <c r="F490" s="14"/>
      <c r="G490" s="14"/>
    </row>
    <row r="491" spans="2:7">
      <c r="B491" s="12"/>
      <c r="D491" s="13"/>
      <c r="E491" s="210"/>
      <c r="F491" s="14"/>
      <c r="G491" s="14"/>
    </row>
    <row r="492" spans="2:7">
      <c r="B492" s="12"/>
      <c r="D492" s="13"/>
      <c r="E492" s="210"/>
      <c r="F492" s="14"/>
      <c r="G492" s="14"/>
    </row>
    <row r="493" spans="2:7">
      <c r="B493" s="12"/>
      <c r="D493" s="13"/>
      <c r="E493" s="210"/>
      <c r="F493" s="14"/>
      <c r="G493" s="14"/>
    </row>
    <row r="494" spans="2:7">
      <c r="B494" s="12"/>
      <c r="D494" s="13"/>
      <c r="E494" s="210"/>
      <c r="F494" s="14"/>
      <c r="G494" s="14"/>
    </row>
    <row r="495" spans="2:7">
      <c r="B495" s="12"/>
      <c r="D495" s="13"/>
      <c r="E495" s="210"/>
      <c r="F495" s="14"/>
      <c r="G495" s="14"/>
    </row>
    <row r="496" spans="2:7">
      <c r="B496" s="12"/>
      <c r="D496" s="13"/>
      <c r="E496" s="210"/>
      <c r="F496" s="14"/>
      <c r="G496" s="14"/>
    </row>
    <row r="497" spans="2:7">
      <c r="B497" s="12"/>
      <c r="D497" s="13"/>
      <c r="E497" s="210"/>
      <c r="F497" s="14"/>
      <c r="G497" s="14"/>
    </row>
    <row r="498" spans="2:7">
      <c r="B498" s="12"/>
      <c r="D498" s="13"/>
      <c r="E498" s="210"/>
      <c r="F498" s="14"/>
      <c r="G498" s="14"/>
    </row>
    <row r="499" spans="2:7">
      <c r="B499" s="12"/>
      <c r="D499" s="13"/>
      <c r="E499" s="210"/>
      <c r="F499" s="14"/>
      <c r="G499" s="14"/>
    </row>
    <row r="500" spans="2:7">
      <c r="B500" s="12"/>
      <c r="D500" s="13"/>
      <c r="E500" s="210"/>
      <c r="F500" s="14"/>
      <c r="G500" s="14"/>
    </row>
    <row r="501" spans="2:7">
      <c r="B501" s="12"/>
      <c r="D501" s="13"/>
      <c r="E501" s="210"/>
      <c r="F501" s="14"/>
      <c r="G501" s="14"/>
    </row>
    <row r="502" spans="2:7">
      <c r="B502" s="12"/>
      <c r="D502" s="13"/>
      <c r="E502" s="210"/>
      <c r="F502" s="14"/>
      <c r="G502" s="14"/>
    </row>
    <row r="503" spans="2:7">
      <c r="B503" s="12"/>
      <c r="D503" s="13"/>
      <c r="E503" s="210"/>
      <c r="F503" s="14"/>
      <c r="G503" s="14"/>
    </row>
    <row r="504" spans="2:7">
      <c r="B504" s="12"/>
      <c r="D504" s="13"/>
      <c r="E504" s="210"/>
      <c r="F504" s="14"/>
      <c r="G504" s="14"/>
    </row>
    <row r="505" spans="2:7">
      <c r="B505" s="12"/>
      <c r="D505" s="13"/>
      <c r="E505" s="210"/>
      <c r="F505" s="14"/>
      <c r="G505" s="14"/>
    </row>
    <row r="506" spans="2:7">
      <c r="B506" s="12"/>
      <c r="D506" s="13"/>
      <c r="E506" s="210"/>
      <c r="F506" s="14"/>
      <c r="G506" s="14"/>
    </row>
    <row r="507" spans="2:7">
      <c r="B507" s="12"/>
      <c r="D507" s="13"/>
      <c r="E507" s="210"/>
      <c r="F507" s="14"/>
      <c r="G507" s="14"/>
    </row>
    <row r="508" spans="2:7">
      <c r="B508" s="12"/>
      <c r="D508" s="13"/>
      <c r="E508" s="210"/>
      <c r="F508" s="14"/>
      <c r="G508" s="14"/>
    </row>
    <row r="509" spans="2:7">
      <c r="B509" s="12"/>
      <c r="D509" s="13"/>
      <c r="E509" s="210"/>
      <c r="F509" s="14"/>
      <c r="G509" s="14"/>
    </row>
    <row r="510" spans="2:7">
      <c r="B510" s="12"/>
      <c r="D510" s="13"/>
      <c r="E510" s="210"/>
      <c r="F510" s="14"/>
      <c r="G510" s="14"/>
    </row>
    <row r="511" spans="2:7">
      <c r="B511" s="12"/>
      <c r="D511" s="13"/>
      <c r="E511" s="210"/>
      <c r="F511" s="14"/>
      <c r="G511" s="14"/>
    </row>
    <row r="512" spans="2:7">
      <c r="B512" s="12"/>
      <c r="D512" s="13"/>
      <c r="E512" s="210"/>
      <c r="F512" s="14"/>
      <c r="G512" s="14"/>
    </row>
    <row r="513" spans="2:7">
      <c r="B513" s="12"/>
      <c r="D513" s="13"/>
      <c r="E513" s="210"/>
      <c r="F513" s="14"/>
      <c r="G513" s="14"/>
    </row>
    <row r="514" spans="2:7">
      <c r="B514" s="12"/>
      <c r="D514" s="13"/>
      <c r="E514" s="210"/>
      <c r="F514" s="14"/>
      <c r="G514" s="14"/>
    </row>
    <row r="515" spans="2:7">
      <c r="B515" s="12"/>
      <c r="D515" s="13"/>
      <c r="E515" s="210"/>
      <c r="F515" s="14"/>
      <c r="G515" s="14"/>
    </row>
    <row r="516" spans="2:7">
      <c r="B516" s="12"/>
      <c r="D516" s="13"/>
      <c r="E516" s="210"/>
      <c r="F516" s="14"/>
      <c r="G516" s="14"/>
    </row>
    <row r="517" spans="2:7">
      <c r="B517" s="12"/>
      <c r="D517" s="13"/>
      <c r="E517" s="210"/>
      <c r="F517" s="14"/>
      <c r="G517" s="14"/>
    </row>
    <row r="518" spans="2:7">
      <c r="B518" s="12"/>
      <c r="D518" s="13"/>
      <c r="E518" s="210"/>
      <c r="F518" s="14"/>
      <c r="G518" s="14"/>
    </row>
    <row r="519" spans="2:7">
      <c r="B519" s="12"/>
      <c r="D519" s="13"/>
      <c r="E519" s="210"/>
      <c r="F519" s="14"/>
      <c r="G519" s="14"/>
    </row>
    <row r="520" spans="2:7">
      <c r="B520" s="12"/>
      <c r="D520" s="13"/>
      <c r="E520" s="210"/>
      <c r="F520" s="14"/>
      <c r="G520" s="14"/>
    </row>
    <row r="521" spans="2:7">
      <c r="B521" s="12"/>
      <c r="D521" s="13"/>
      <c r="E521" s="210"/>
      <c r="F521" s="14"/>
      <c r="G521" s="14"/>
    </row>
    <row r="522" spans="2:7">
      <c r="B522" s="12"/>
      <c r="D522" s="13"/>
      <c r="E522" s="210"/>
      <c r="F522" s="14"/>
      <c r="G522" s="14"/>
    </row>
    <row r="523" spans="2:7">
      <c r="B523" s="12"/>
      <c r="D523" s="13"/>
      <c r="E523" s="210"/>
      <c r="F523" s="14"/>
      <c r="G523" s="14"/>
    </row>
    <row r="524" spans="2:7">
      <c r="B524" s="12"/>
      <c r="D524" s="13"/>
      <c r="E524" s="210"/>
      <c r="F524" s="14"/>
      <c r="G524" s="14"/>
    </row>
    <row r="525" spans="2:7">
      <c r="B525" s="12"/>
      <c r="D525" s="13"/>
      <c r="E525" s="210"/>
      <c r="F525" s="14"/>
      <c r="G525" s="14"/>
    </row>
    <row r="526" spans="2:7">
      <c r="B526" s="12"/>
      <c r="D526" s="13"/>
      <c r="E526" s="210"/>
      <c r="F526" s="14"/>
      <c r="G526" s="14"/>
    </row>
    <row r="527" spans="2:7">
      <c r="B527" s="12"/>
      <c r="D527" s="13"/>
      <c r="E527" s="210"/>
      <c r="F527" s="14"/>
      <c r="G527" s="14"/>
    </row>
    <row r="528" spans="2:7">
      <c r="B528" s="12"/>
      <c r="D528" s="13"/>
      <c r="E528" s="210"/>
      <c r="F528" s="14"/>
      <c r="G528" s="14"/>
    </row>
    <row r="529" spans="2:7">
      <c r="B529" s="12"/>
      <c r="D529" s="13"/>
      <c r="E529" s="210"/>
      <c r="F529" s="14"/>
      <c r="G529" s="14"/>
    </row>
    <row r="530" spans="2:7">
      <c r="B530" s="12"/>
      <c r="D530" s="13"/>
      <c r="E530" s="210"/>
      <c r="F530" s="14"/>
      <c r="G530" s="14"/>
    </row>
    <row r="531" spans="2:7">
      <c r="B531" s="12"/>
      <c r="D531" s="13"/>
      <c r="E531" s="210"/>
      <c r="F531" s="14"/>
      <c r="G531" s="14"/>
    </row>
    <row r="532" spans="2:7">
      <c r="B532" s="12"/>
      <c r="D532" s="13"/>
      <c r="E532" s="210"/>
      <c r="F532" s="14"/>
      <c r="G532" s="14"/>
    </row>
    <row r="533" spans="2:7">
      <c r="B533" s="12"/>
      <c r="D533" s="13"/>
      <c r="E533" s="210"/>
      <c r="F533" s="14"/>
      <c r="G533" s="14"/>
    </row>
    <row r="534" spans="2:7">
      <c r="B534" s="12"/>
      <c r="D534" s="13"/>
      <c r="E534" s="210"/>
      <c r="F534" s="14"/>
      <c r="G534" s="14"/>
    </row>
    <row r="535" spans="2:7">
      <c r="B535" s="12"/>
      <c r="D535" s="13"/>
      <c r="E535" s="210"/>
      <c r="F535" s="14"/>
      <c r="G535" s="14"/>
    </row>
    <row r="536" spans="2:7">
      <c r="B536" s="12"/>
      <c r="D536" s="13"/>
      <c r="E536" s="210"/>
      <c r="F536" s="14"/>
      <c r="G536" s="14"/>
    </row>
    <row r="537" spans="2:7">
      <c r="B537" s="12"/>
      <c r="D537" s="13"/>
      <c r="E537" s="210"/>
      <c r="F537" s="14"/>
      <c r="G537" s="14"/>
    </row>
    <row r="538" spans="2:7">
      <c r="B538" s="12"/>
      <c r="D538" s="13"/>
      <c r="E538" s="210"/>
      <c r="F538" s="14"/>
      <c r="G538" s="14"/>
    </row>
    <row r="539" spans="2:7">
      <c r="B539" s="12"/>
      <c r="D539" s="13"/>
      <c r="E539" s="210"/>
      <c r="F539" s="14"/>
      <c r="G539" s="14"/>
    </row>
    <row r="540" spans="2:7">
      <c r="B540" s="12"/>
      <c r="D540" s="13"/>
      <c r="E540" s="210"/>
      <c r="F540" s="14"/>
      <c r="G540" s="14"/>
    </row>
    <row r="541" spans="2:7">
      <c r="B541" s="12"/>
      <c r="D541" s="13"/>
      <c r="E541" s="210"/>
      <c r="F541" s="14"/>
      <c r="G541" s="14"/>
    </row>
    <row r="542" spans="2:7">
      <c r="B542" s="12"/>
      <c r="D542" s="13"/>
      <c r="E542" s="210"/>
      <c r="F542" s="14"/>
      <c r="G542" s="14"/>
    </row>
    <row r="543" spans="2:7">
      <c r="B543" s="12"/>
      <c r="D543" s="13"/>
      <c r="E543" s="210"/>
      <c r="F543" s="14"/>
      <c r="G543" s="14"/>
    </row>
    <row r="544" spans="2:7">
      <c r="B544" s="12"/>
      <c r="D544" s="13"/>
      <c r="E544" s="210"/>
      <c r="F544" s="14"/>
      <c r="G544" s="14"/>
    </row>
    <row r="545" spans="2:7">
      <c r="B545" s="12"/>
      <c r="D545" s="13"/>
      <c r="E545" s="210"/>
      <c r="F545" s="14"/>
      <c r="G545" s="14"/>
    </row>
    <row r="546" spans="2:7">
      <c r="B546" s="12"/>
      <c r="D546" s="13"/>
      <c r="E546" s="210"/>
      <c r="F546" s="14"/>
      <c r="G546" s="14"/>
    </row>
    <row r="547" spans="2:7">
      <c r="B547" s="12"/>
      <c r="D547" s="13"/>
      <c r="E547" s="210"/>
      <c r="F547" s="14"/>
      <c r="G547" s="14"/>
    </row>
    <row r="548" spans="2:7">
      <c r="B548" s="12"/>
      <c r="D548" s="13"/>
      <c r="E548" s="210"/>
      <c r="F548" s="14"/>
      <c r="G548" s="14"/>
    </row>
    <row r="549" spans="2:7">
      <c r="B549" s="12"/>
      <c r="D549" s="13"/>
      <c r="E549" s="210"/>
      <c r="F549" s="14"/>
      <c r="G549" s="14"/>
    </row>
    <row r="550" spans="2:7">
      <c r="B550" s="12"/>
      <c r="D550" s="13"/>
      <c r="E550" s="210"/>
      <c r="F550" s="14"/>
      <c r="G550" s="14"/>
    </row>
    <row r="551" spans="2:7">
      <c r="B551" s="12"/>
      <c r="D551" s="13"/>
      <c r="E551" s="210"/>
      <c r="F551" s="14"/>
      <c r="G551" s="14"/>
    </row>
    <row r="552" spans="2:7">
      <c r="B552" s="12"/>
      <c r="D552" s="13"/>
      <c r="E552" s="210"/>
      <c r="F552" s="14"/>
      <c r="G552" s="14"/>
    </row>
    <row r="553" spans="2:7">
      <c r="B553" s="12"/>
      <c r="D553" s="13"/>
      <c r="E553" s="210"/>
      <c r="F553" s="14"/>
      <c r="G553" s="14"/>
    </row>
    <row r="554" spans="2:7">
      <c r="B554" s="12"/>
      <c r="D554" s="13"/>
      <c r="E554" s="210"/>
      <c r="F554" s="14"/>
      <c r="G554" s="14"/>
    </row>
    <row r="555" spans="2:7">
      <c r="B555" s="12"/>
      <c r="D555" s="13"/>
      <c r="E555" s="210"/>
      <c r="F555" s="14"/>
      <c r="G555" s="14"/>
    </row>
    <row r="556" spans="2:7">
      <c r="B556" s="12"/>
      <c r="D556" s="13"/>
      <c r="E556" s="210"/>
      <c r="F556" s="14"/>
      <c r="G556" s="14"/>
    </row>
    <row r="557" spans="2:7">
      <c r="B557" s="12"/>
      <c r="D557" s="13"/>
      <c r="E557" s="210"/>
      <c r="F557" s="14"/>
      <c r="G557" s="14"/>
    </row>
    <row r="558" spans="2:7">
      <c r="B558" s="12"/>
      <c r="D558" s="13"/>
      <c r="E558" s="210"/>
      <c r="F558" s="14"/>
      <c r="G558" s="14"/>
    </row>
    <row r="559" spans="2:7">
      <c r="B559" s="12"/>
      <c r="D559" s="13"/>
      <c r="E559" s="210"/>
      <c r="F559" s="14"/>
      <c r="G559" s="14"/>
    </row>
    <row r="560" spans="2:7">
      <c r="B560" s="12"/>
      <c r="D560" s="13"/>
      <c r="E560" s="210"/>
      <c r="F560" s="14"/>
      <c r="G560" s="14"/>
    </row>
    <row r="561" spans="2:7">
      <c r="B561" s="12"/>
      <c r="D561" s="13"/>
      <c r="E561" s="210"/>
      <c r="F561" s="14"/>
      <c r="G561" s="14"/>
    </row>
    <row r="562" spans="2:7">
      <c r="B562" s="12"/>
      <c r="D562" s="13"/>
      <c r="E562" s="210"/>
      <c r="F562" s="14"/>
      <c r="G562" s="14"/>
    </row>
    <row r="563" spans="2:7">
      <c r="B563" s="12"/>
      <c r="D563" s="13"/>
      <c r="E563" s="210"/>
      <c r="F563" s="14"/>
      <c r="G563" s="14"/>
    </row>
    <row r="564" spans="2:7">
      <c r="B564" s="12"/>
      <c r="D564" s="13"/>
      <c r="E564" s="210"/>
      <c r="F564" s="14"/>
      <c r="G564" s="14"/>
    </row>
    <row r="565" spans="2:7">
      <c r="B565" s="12"/>
      <c r="D565" s="13"/>
      <c r="E565" s="210"/>
      <c r="F565" s="14"/>
      <c r="G565" s="14"/>
    </row>
    <row r="566" spans="2:7">
      <c r="B566" s="12"/>
      <c r="D566" s="13"/>
      <c r="E566" s="210"/>
      <c r="F566" s="14"/>
      <c r="G566" s="14"/>
    </row>
    <row r="567" spans="2:7">
      <c r="B567" s="12"/>
      <c r="D567" s="13"/>
      <c r="E567" s="210"/>
      <c r="F567" s="14"/>
      <c r="G567" s="14"/>
    </row>
    <row r="568" spans="2:7">
      <c r="B568" s="12"/>
      <c r="D568" s="13"/>
      <c r="E568" s="210"/>
      <c r="F568" s="14"/>
      <c r="G568" s="14"/>
    </row>
    <row r="569" spans="2:7">
      <c r="B569" s="12"/>
      <c r="D569" s="13"/>
      <c r="E569" s="210"/>
      <c r="F569" s="14"/>
      <c r="G569" s="14"/>
    </row>
    <row r="570" spans="2:7">
      <c r="B570" s="12"/>
      <c r="D570" s="13"/>
      <c r="E570" s="210"/>
      <c r="F570" s="14"/>
      <c r="G570" s="14"/>
    </row>
    <row r="571" spans="2:7">
      <c r="B571" s="12"/>
      <c r="D571" s="13"/>
      <c r="E571" s="210"/>
      <c r="F571" s="14"/>
      <c r="G571" s="14"/>
    </row>
    <row r="572" spans="2:7">
      <c r="B572" s="12"/>
      <c r="D572" s="13"/>
      <c r="E572" s="210"/>
      <c r="F572" s="14"/>
      <c r="G572" s="14"/>
    </row>
    <row r="573" spans="2:7">
      <c r="B573" s="12"/>
      <c r="D573" s="13"/>
      <c r="E573" s="210"/>
      <c r="F573" s="14"/>
      <c r="G573" s="14"/>
    </row>
    <row r="574" spans="2:7">
      <c r="B574" s="12"/>
      <c r="D574" s="13"/>
      <c r="E574" s="210"/>
      <c r="F574" s="14"/>
      <c r="G574" s="14"/>
    </row>
    <row r="575" spans="2:7">
      <c r="B575" s="12"/>
      <c r="D575" s="13"/>
      <c r="E575" s="210"/>
      <c r="F575" s="14"/>
      <c r="G575" s="14"/>
    </row>
    <row r="576" spans="2:7">
      <c r="B576" s="12"/>
      <c r="D576" s="13"/>
      <c r="E576" s="210"/>
      <c r="F576" s="14"/>
      <c r="G576" s="14"/>
    </row>
    <row r="577" spans="2:7">
      <c r="B577" s="12"/>
      <c r="D577" s="13"/>
      <c r="E577" s="210"/>
      <c r="F577" s="14"/>
      <c r="G577" s="14"/>
    </row>
    <row r="578" spans="2:7">
      <c r="B578" s="12"/>
      <c r="D578" s="13"/>
      <c r="E578" s="210"/>
      <c r="F578" s="14"/>
      <c r="G578" s="14"/>
    </row>
    <row r="579" spans="2:7">
      <c r="B579" s="12"/>
      <c r="D579" s="13"/>
      <c r="E579" s="210"/>
      <c r="F579" s="14"/>
      <c r="G579" s="14"/>
    </row>
    <row r="580" spans="2:7">
      <c r="B580" s="12"/>
      <c r="D580" s="13"/>
      <c r="E580" s="210"/>
      <c r="F580" s="14"/>
      <c r="G580" s="14"/>
    </row>
    <row r="581" spans="2:7">
      <c r="B581" s="12"/>
      <c r="D581" s="13"/>
      <c r="E581" s="210"/>
      <c r="F581" s="14"/>
      <c r="G581" s="14"/>
    </row>
    <row r="582" spans="2:7">
      <c r="B582" s="12"/>
      <c r="D582" s="13"/>
      <c r="E582" s="210"/>
      <c r="F582" s="14"/>
      <c r="G582" s="14"/>
    </row>
    <row r="583" spans="2:7">
      <c r="B583" s="12"/>
      <c r="D583" s="13"/>
      <c r="E583" s="210"/>
      <c r="F583" s="14"/>
      <c r="G583" s="14"/>
    </row>
    <row r="584" spans="2:7">
      <c r="B584" s="12"/>
      <c r="D584" s="13"/>
      <c r="E584" s="210"/>
      <c r="F584" s="14"/>
      <c r="G584" s="14"/>
    </row>
    <row r="585" spans="2:7">
      <c r="B585" s="12"/>
      <c r="D585" s="13"/>
      <c r="E585" s="210"/>
      <c r="F585" s="14"/>
      <c r="G585" s="14"/>
    </row>
    <row r="586" spans="2:7">
      <c r="B586" s="12"/>
      <c r="D586" s="13"/>
      <c r="E586" s="210"/>
      <c r="F586" s="14"/>
      <c r="G586" s="14"/>
    </row>
    <row r="587" spans="2:7">
      <c r="B587" s="12"/>
      <c r="D587" s="13"/>
      <c r="E587" s="210"/>
      <c r="F587" s="14"/>
      <c r="G587" s="14"/>
    </row>
    <row r="588" spans="2:7">
      <c r="B588" s="12"/>
      <c r="D588" s="13"/>
      <c r="E588" s="210"/>
      <c r="F588" s="14"/>
      <c r="G588" s="14"/>
    </row>
    <row r="589" spans="2:7">
      <c r="B589" s="12"/>
      <c r="D589" s="13"/>
      <c r="E589" s="210"/>
      <c r="F589" s="14"/>
      <c r="G589" s="14"/>
    </row>
    <row r="590" spans="2:7">
      <c r="B590" s="12"/>
      <c r="D590" s="13"/>
      <c r="E590" s="210"/>
      <c r="F590" s="14"/>
      <c r="G590" s="14"/>
    </row>
    <row r="591" spans="2:7">
      <c r="B591" s="12"/>
      <c r="D591" s="13"/>
      <c r="E591" s="210"/>
      <c r="F591" s="14"/>
      <c r="G591" s="14"/>
    </row>
    <row r="592" spans="2:7">
      <c r="B592" s="12"/>
      <c r="D592" s="13"/>
      <c r="E592" s="210"/>
      <c r="F592" s="14"/>
      <c r="G592" s="14"/>
    </row>
    <row r="593" spans="2:7">
      <c r="B593" s="12"/>
      <c r="D593" s="13"/>
      <c r="E593" s="210"/>
      <c r="F593" s="14"/>
      <c r="G593" s="14"/>
    </row>
    <row r="594" spans="2:7">
      <c r="B594" s="12"/>
      <c r="D594" s="13"/>
      <c r="E594" s="210"/>
      <c r="F594" s="14"/>
      <c r="G594" s="14"/>
    </row>
    <row r="595" spans="2:7">
      <c r="B595" s="12"/>
      <c r="D595" s="13"/>
      <c r="E595" s="210"/>
      <c r="F595" s="14"/>
      <c r="G595" s="14"/>
    </row>
    <row r="596" spans="2:7">
      <c r="B596" s="12"/>
      <c r="D596" s="13"/>
      <c r="E596" s="210"/>
      <c r="F596" s="14"/>
      <c r="G596" s="14"/>
    </row>
    <row r="597" spans="2:7">
      <c r="B597" s="12"/>
      <c r="D597" s="13"/>
      <c r="E597" s="210"/>
      <c r="F597" s="14"/>
      <c r="G597" s="14"/>
    </row>
    <row r="598" spans="2:7">
      <c r="B598" s="12"/>
      <c r="D598" s="13"/>
      <c r="E598" s="210"/>
      <c r="F598" s="14"/>
      <c r="G598" s="14"/>
    </row>
    <row r="599" spans="2:7">
      <c r="B599" s="12"/>
      <c r="D599" s="13"/>
      <c r="E599" s="210"/>
      <c r="F599" s="14"/>
      <c r="G599" s="14"/>
    </row>
    <row r="600" spans="2:7">
      <c r="B600" s="12"/>
      <c r="D600" s="13"/>
      <c r="E600" s="210"/>
      <c r="F600" s="14"/>
      <c r="G600" s="14"/>
    </row>
    <row r="601" spans="2:7">
      <c r="B601" s="12"/>
      <c r="D601" s="13"/>
      <c r="E601" s="210"/>
      <c r="F601" s="14"/>
      <c r="G601" s="14"/>
    </row>
    <row r="602" spans="2:7">
      <c r="B602" s="12"/>
      <c r="D602" s="13"/>
      <c r="E602" s="210"/>
      <c r="F602" s="14"/>
      <c r="G602" s="14"/>
    </row>
    <row r="603" spans="2:7">
      <c r="B603" s="12"/>
      <c r="D603" s="13"/>
      <c r="E603" s="210"/>
      <c r="F603" s="14"/>
      <c r="G603" s="14"/>
    </row>
    <row r="604" spans="2:7">
      <c r="B604" s="12"/>
      <c r="D604" s="13"/>
      <c r="E604" s="210"/>
      <c r="F604" s="14"/>
      <c r="G604" s="14"/>
    </row>
    <row r="605" spans="2:7">
      <c r="B605" s="12"/>
      <c r="D605" s="13"/>
      <c r="E605" s="210"/>
      <c r="F605" s="14"/>
      <c r="G605" s="14"/>
    </row>
    <row r="606" spans="2:7">
      <c r="B606" s="12"/>
      <c r="D606" s="13"/>
      <c r="E606" s="210"/>
      <c r="F606" s="14"/>
      <c r="G606" s="14"/>
    </row>
    <row r="607" spans="2:7">
      <c r="B607" s="12"/>
      <c r="D607" s="13"/>
      <c r="E607" s="210"/>
      <c r="F607" s="14"/>
      <c r="G607" s="14"/>
    </row>
    <row r="608" spans="2:7">
      <c r="B608" s="12"/>
      <c r="D608" s="13"/>
      <c r="E608" s="210"/>
      <c r="F608" s="14"/>
      <c r="G608" s="14"/>
    </row>
    <row r="609" spans="2:7">
      <c r="B609" s="12"/>
      <c r="D609" s="13"/>
      <c r="E609" s="210"/>
      <c r="F609" s="14"/>
      <c r="G609" s="14"/>
    </row>
    <row r="610" spans="2:7">
      <c r="B610" s="12"/>
      <c r="D610" s="13"/>
      <c r="E610" s="210"/>
      <c r="F610" s="14"/>
      <c r="G610" s="14"/>
    </row>
    <row r="611" spans="2:7">
      <c r="B611" s="12"/>
      <c r="D611" s="13"/>
      <c r="E611" s="210"/>
      <c r="F611" s="14"/>
      <c r="G611" s="14"/>
    </row>
    <row r="612" spans="2:7">
      <c r="B612" s="12"/>
      <c r="D612" s="13"/>
      <c r="E612" s="210"/>
      <c r="F612" s="14"/>
      <c r="G612" s="14"/>
    </row>
    <row r="613" spans="2:7">
      <c r="B613" s="12"/>
      <c r="D613" s="13"/>
      <c r="E613" s="210"/>
      <c r="F613" s="14"/>
      <c r="G613" s="14"/>
    </row>
    <row r="614" spans="2:7">
      <c r="B614" s="12"/>
      <c r="D614" s="13"/>
      <c r="E614" s="210"/>
      <c r="F614" s="14"/>
      <c r="G614" s="14"/>
    </row>
    <row r="615" spans="2:7">
      <c r="B615" s="12"/>
      <c r="D615" s="13"/>
      <c r="E615" s="210"/>
      <c r="F615" s="14"/>
      <c r="G615" s="14"/>
    </row>
    <row r="616" spans="2:7">
      <c r="B616" s="12"/>
      <c r="D616" s="13"/>
      <c r="E616" s="210"/>
      <c r="F616" s="14"/>
      <c r="G616" s="14"/>
    </row>
    <row r="617" spans="2:7">
      <c r="B617" s="12"/>
      <c r="D617" s="13"/>
      <c r="E617" s="210"/>
      <c r="F617" s="14"/>
      <c r="G617" s="14"/>
    </row>
    <row r="618" spans="2:7">
      <c r="B618" s="12"/>
      <c r="D618" s="13"/>
      <c r="E618" s="210"/>
      <c r="F618" s="14"/>
      <c r="G618" s="14"/>
    </row>
    <row r="619" spans="2:7">
      <c r="B619" s="12"/>
      <c r="D619" s="13"/>
      <c r="E619" s="210"/>
      <c r="F619" s="14"/>
      <c r="G619" s="14"/>
    </row>
    <row r="620" spans="2:7">
      <c r="B620" s="12"/>
      <c r="D620" s="13"/>
      <c r="E620" s="210"/>
      <c r="F620" s="14"/>
      <c r="G620" s="14"/>
    </row>
    <row r="621" spans="2:7">
      <c r="B621" s="12"/>
      <c r="D621" s="13"/>
      <c r="E621" s="210"/>
      <c r="F621" s="14"/>
      <c r="G621" s="14"/>
    </row>
    <row r="622" spans="2:7">
      <c r="B622" s="12"/>
      <c r="D622" s="13"/>
      <c r="E622" s="210"/>
      <c r="F622" s="14"/>
      <c r="G622" s="14"/>
    </row>
    <row r="623" spans="2:7">
      <c r="B623" s="12"/>
      <c r="D623" s="13"/>
      <c r="E623" s="210"/>
      <c r="F623" s="14"/>
      <c r="G623" s="14"/>
    </row>
    <row r="624" spans="2:7">
      <c r="B624" s="12"/>
      <c r="D624" s="13"/>
      <c r="E624" s="210"/>
      <c r="F624" s="14"/>
      <c r="G624" s="14"/>
    </row>
    <row r="625" spans="2:7">
      <c r="B625" s="12"/>
      <c r="D625" s="13"/>
      <c r="E625" s="210"/>
      <c r="F625" s="14"/>
      <c r="G625" s="14"/>
    </row>
    <row r="626" spans="2:7">
      <c r="B626" s="12"/>
      <c r="D626" s="13"/>
      <c r="E626" s="210"/>
      <c r="F626" s="14"/>
      <c r="G626" s="14"/>
    </row>
    <row r="627" spans="2:7">
      <c r="B627" s="12"/>
      <c r="D627" s="13"/>
      <c r="E627" s="210"/>
      <c r="F627" s="14"/>
      <c r="G627" s="14"/>
    </row>
    <row r="628" spans="2:7">
      <c r="B628" s="12"/>
      <c r="D628" s="13"/>
      <c r="E628" s="210"/>
      <c r="F628" s="14"/>
      <c r="G628" s="14"/>
    </row>
    <row r="629" spans="2:7">
      <c r="B629" s="12"/>
      <c r="D629" s="13"/>
      <c r="E629" s="210"/>
      <c r="F629" s="14"/>
      <c r="G629" s="14"/>
    </row>
    <row r="630" spans="2:7">
      <c r="B630" s="12"/>
      <c r="D630" s="13"/>
      <c r="E630" s="210"/>
      <c r="F630" s="14"/>
      <c r="G630" s="14"/>
    </row>
    <row r="631" spans="2:7">
      <c r="B631" s="12"/>
      <c r="D631" s="13"/>
      <c r="E631" s="210"/>
      <c r="F631" s="14"/>
      <c r="G631" s="14"/>
    </row>
    <row r="632" spans="2:7">
      <c r="B632" s="12"/>
      <c r="D632" s="13"/>
      <c r="E632" s="210"/>
      <c r="F632" s="14"/>
      <c r="G632" s="14"/>
    </row>
    <row r="633" spans="2:7">
      <c r="B633" s="12"/>
      <c r="D633" s="13"/>
      <c r="E633" s="210"/>
      <c r="F633" s="14"/>
      <c r="G633" s="14"/>
    </row>
    <row r="634" spans="2:7">
      <c r="B634" s="12"/>
      <c r="D634" s="13"/>
      <c r="E634" s="210"/>
      <c r="F634" s="14"/>
      <c r="G634" s="14"/>
    </row>
    <row r="635" spans="2:7">
      <c r="B635" s="12"/>
      <c r="D635" s="13"/>
      <c r="E635" s="210"/>
      <c r="F635" s="14"/>
      <c r="G635" s="14"/>
    </row>
    <row r="636" spans="2:7">
      <c r="B636" s="12"/>
      <c r="D636" s="13"/>
      <c r="E636" s="210"/>
      <c r="F636" s="14"/>
      <c r="G636" s="14"/>
    </row>
    <row r="637" spans="2:7">
      <c r="B637" s="12"/>
      <c r="D637" s="13"/>
      <c r="E637" s="210"/>
      <c r="F637" s="14"/>
      <c r="G637" s="14"/>
    </row>
    <row r="638" spans="2:7">
      <c r="B638" s="12"/>
      <c r="D638" s="13"/>
      <c r="E638" s="210"/>
      <c r="F638" s="14"/>
      <c r="G638" s="14"/>
    </row>
    <row r="639" spans="2:7">
      <c r="B639" s="12"/>
      <c r="D639" s="13"/>
      <c r="E639" s="210"/>
      <c r="F639" s="14"/>
      <c r="G639" s="14"/>
    </row>
    <row r="640" spans="2:7">
      <c r="B640" s="12"/>
      <c r="D640" s="13"/>
      <c r="E640" s="210"/>
      <c r="F640" s="14"/>
      <c r="G640" s="14"/>
    </row>
    <row r="641" spans="2:7">
      <c r="B641" s="12"/>
      <c r="D641" s="13"/>
      <c r="E641" s="210"/>
      <c r="F641" s="14"/>
      <c r="G641" s="14"/>
    </row>
    <row r="642" spans="2:7">
      <c r="B642" s="12"/>
      <c r="D642" s="13"/>
      <c r="E642" s="210"/>
      <c r="F642" s="14"/>
      <c r="G642" s="14"/>
    </row>
    <row r="643" spans="2:7">
      <c r="B643" s="12"/>
      <c r="D643" s="13"/>
      <c r="E643" s="210"/>
      <c r="F643" s="14"/>
      <c r="G643" s="14"/>
    </row>
    <row r="644" spans="2:7">
      <c r="B644" s="12"/>
      <c r="D644" s="13"/>
      <c r="E644" s="210"/>
      <c r="F644" s="14"/>
      <c r="G644" s="14"/>
    </row>
    <row r="645" spans="2:7">
      <c r="B645" s="12"/>
      <c r="D645" s="13"/>
      <c r="E645" s="210"/>
      <c r="F645" s="14"/>
      <c r="G645" s="14"/>
    </row>
    <row r="646" spans="2:7">
      <c r="B646" s="12"/>
      <c r="D646" s="13"/>
      <c r="E646" s="210"/>
      <c r="F646" s="14"/>
      <c r="G646" s="14"/>
    </row>
    <row r="647" spans="2:7">
      <c r="B647" s="12"/>
      <c r="D647" s="13"/>
      <c r="E647" s="210"/>
      <c r="F647" s="14"/>
      <c r="G647" s="14"/>
    </row>
    <row r="648" spans="2:7">
      <c r="B648" s="12"/>
      <c r="D648" s="13"/>
      <c r="E648" s="210"/>
      <c r="F648" s="14"/>
      <c r="G648" s="14"/>
    </row>
    <row r="649" spans="2:7">
      <c r="B649" s="12"/>
      <c r="D649" s="13"/>
      <c r="E649" s="210"/>
      <c r="F649" s="14"/>
      <c r="G649" s="14"/>
    </row>
    <row r="650" spans="2:7">
      <c r="B650" s="12"/>
      <c r="D650" s="13"/>
      <c r="E650" s="210"/>
      <c r="F650" s="14"/>
      <c r="G650" s="14"/>
    </row>
    <row r="651" spans="2:7">
      <c r="B651" s="12"/>
      <c r="D651" s="13"/>
      <c r="E651" s="210"/>
      <c r="F651" s="14"/>
      <c r="G651" s="14"/>
    </row>
    <row r="652" spans="2:7">
      <c r="B652" s="12"/>
      <c r="D652" s="13"/>
      <c r="E652" s="210"/>
      <c r="F652" s="14"/>
      <c r="G652" s="14"/>
    </row>
    <row r="653" spans="2:7">
      <c r="B653" s="12"/>
      <c r="D653" s="13"/>
      <c r="E653" s="210"/>
      <c r="F653" s="14"/>
      <c r="G653" s="14"/>
    </row>
    <row r="654" spans="2:7">
      <c r="B654" s="12"/>
      <c r="D654" s="13"/>
      <c r="E654" s="210"/>
      <c r="F654" s="14"/>
      <c r="G654" s="14"/>
    </row>
    <row r="655" spans="2:7">
      <c r="B655" s="12"/>
      <c r="D655" s="13"/>
      <c r="E655" s="210"/>
      <c r="F655" s="14"/>
      <c r="G655" s="14"/>
    </row>
    <row r="656" spans="2:7">
      <c r="B656" s="12"/>
      <c r="D656" s="13"/>
      <c r="E656" s="210"/>
      <c r="F656" s="14"/>
      <c r="G656" s="14"/>
    </row>
    <row r="657" spans="2:7">
      <c r="B657" s="12"/>
      <c r="D657" s="13"/>
      <c r="E657" s="210"/>
      <c r="F657" s="14"/>
      <c r="G657" s="14"/>
    </row>
    <row r="658" spans="2:7">
      <c r="B658" s="12"/>
      <c r="D658" s="13"/>
      <c r="E658" s="210"/>
      <c r="F658" s="14"/>
      <c r="G658" s="14"/>
    </row>
    <row r="659" spans="2:7">
      <c r="B659" s="12"/>
      <c r="D659" s="13"/>
      <c r="E659" s="210"/>
      <c r="F659" s="14"/>
      <c r="G659" s="14"/>
    </row>
    <row r="660" spans="2:7">
      <c r="B660" s="12"/>
      <c r="D660" s="13"/>
      <c r="E660" s="210"/>
      <c r="F660" s="14"/>
      <c r="G660" s="14"/>
    </row>
    <row r="661" spans="2:7">
      <c r="B661" s="12"/>
      <c r="D661" s="13"/>
      <c r="E661" s="210"/>
      <c r="F661" s="14"/>
      <c r="G661" s="14"/>
    </row>
    <row r="662" spans="2:7">
      <c r="B662" s="12"/>
      <c r="D662" s="13"/>
      <c r="E662" s="210"/>
      <c r="F662" s="14"/>
      <c r="G662" s="14"/>
    </row>
    <row r="663" spans="2:7">
      <c r="B663" s="12"/>
      <c r="D663" s="13"/>
      <c r="E663" s="210"/>
      <c r="F663" s="14"/>
      <c r="G663" s="14"/>
    </row>
    <row r="664" spans="2:7">
      <c r="B664" s="12"/>
      <c r="D664" s="13"/>
      <c r="E664" s="210"/>
      <c r="F664" s="14"/>
      <c r="G664" s="14"/>
    </row>
    <row r="665" spans="2:7">
      <c r="B665" s="12"/>
      <c r="D665" s="13"/>
      <c r="E665" s="210"/>
      <c r="F665" s="14"/>
      <c r="G665" s="14"/>
    </row>
    <row r="666" spans="2:7">
      <c r="B666" s="12"/>
      <c r="D666" s="13"/>
      <c r="E666" s="210"/>
      <c r="F666" s="14"/>
      <c r="G666" s="14"/>
    </row>
    <row r="667" spans="2:7">
      <c r="B667" s="12"/>
      <c r="D667" s="13"/>
      <c r="E667" s="210"/>
      <c r="F667" s="14"/>
      <c r="G667" s="14"/>
    </row>
    <row r="668" spans="2:7">
      <c r="B668" s="12"/>
      <c r="D668" s="13"/>
      <c r="E668" s="210"/>
      <c r="F668" s="14"/>
      <c r="G668" s="14"/>
    </row>
    <row r="669" spans="2:7">
      <c r="B669" s="12"/>
      <c r="D669" s="13"/>
      <c r="E669" s="210"/>
      <c r="F669" s="14"/>
      <c r="G669" s="14"/>
    </row>
    <row r="670" spans="2:7">
      <c r="B670" s="12"/>
      <c r="D670" s="13"/>
      <c r="E670" s="210"/>
      <c r="F670" s="14"/>
      <c r="G670" s="14"/>
    </row>
    <row r="671" spans="2:7">
      <c r="B671" s="12"/>
      <c r="D671" s="13"/>
      <c r="E671" s="210"/>
      <c r="F671" s="14"/>
      <c r="G671" s="14"/>
    </row>
    <row r="672" spans="2:7">
      <c r="B672" s="12"/>
      <c r="D672" s="13"/>
      <c r="E672" s="210"/>
      <c r="F672" s="14"/>
      <c r="G672" s="14"/>
    </row>
    <row r="673" spans="2:7">
      <c r="B673" s="12"/>
      <c r="D673" s="13"/>
      <c r="E673" s="210"/>
      <c r="F673" s="14"/>
      <c r="G673" s="14"/>
    </row>
    <row r="674" spans="2:7">
      <c r="B674" s="12"/>
      <c r="D674" s="13"/>
      <c r="E674" s="210"/>
      <c r="F674" s="14"/>
      <c r="G674" s="14"/>
    </row>
    <row r="675" spans="2:7">
      <c r="B675" s="12"/>
      <c r="D675" s="13"/>
      <c r="E675" s="210"/>
      <c r="F675" s="14"/>
      <c r="G675" s="14"/>
    </row>
    <row r="676" spans="2:7">
      <c r="B676" s="12"/>
      <c r="D676" s="13"/>
      <c r="E676" s="210"/>
      <c r="F676" s="14"/>
      <c r="G676" s="14"/>
    </row>
    <row r="677" spans="2:7">
      <c r="B677" s="12"/>
      <c r="D677" s="13"/>
      <c r="E677" s="210"/>
      <c r="F677" s="14"/>
      <c r="G677" s="14"/>
    </row>
    <row r="678" spans="2:7">
      <c r="B678" s="12"/>
      <c r="D678" s="13"/>
      <c r="E678" s="210"/>
      <c r="F678" s="14"/>
      <c r="G678" s="14"/>
    </row>
    <row r="679" spans="2:7">
      <c r="B679" s="12"/>
      <c r="D679" s="13"/>
      <c r="E679" s="210"/>
      <c r="F679" s="14"/>
      <c r="G679" s="14"/>
    </row>
    <row r="680" spans="2:7">
      <c r="B680" s="12"/>
      <c r="D680" s="13"/>
      <c r="E680" s="210"/>
      <c r="F680" s="14"/>
      <c r="G680" s="14"/>
    </row>
    <row r="681" spans="2:7">
      <c r="B681" s="12"/>
      <c r="D681" s="13"/>
      <c r="E681" s="210"/>
      <c r="F681" s="14"/>
      <c r="G681" s="14"/>
    </row>
    <row r="682" spans="2:7">
      <c r="B682" s="12"/>
      <c r="D682" s="13"/>
      <c r="E682" s="210"/>
      <c r="F682" s="14"/>
      <c r="G682" s="14"/>
    </row>
    <row r="683" spans="2:7">
      <c r="B683" s="12"/>
      <c r="D683" s="14"/>
      <c r="E683" s="210"/>
      <c r="F683" s="14"/>
      <c r="G683" s="14"/>
    </row>
    <row r="684" spans="2:7">
      <c r="B684" s="12"/>
      <c r="D684" s="14"/>
      <c r="E684" s="210"/>
      <c r="F684" s="14"/>
      <c r="G684" s="14"/>
    </row>
    <row r="685" spans="2:7">
      <c r="B685" s="12"/>
      <c r="D685" s="14"/>
      <c r="E685" s="210"/>
      <c r="F685" s="14"/>
      <c r="G685" s="14"/>
    </row>
    <row r="686" spans="2:7">
      <c r="B686" s="12"/>
      <c r="D686" s="14"/>
      <c r="E686" s="210"/>
      <c r="F686" s="14"/>
      <c r="G686" s="14"/>
    </row>
    <row r="687" spans="2:7">
      <c r="B687" s="12"/>
      <c r="D687" s="14"/>
      <c r="E687" s="210"/>
      <c r="F687" s="14"/>
      <c r="G687" s="14"/>
    </row>
    <row r="688" spans="2:7">
      <c r="B688" s="12"/>
      <c r="D688" s="14"/>
      <c r="E688" s="210"/>
      <c r="F688" s="14"/>
      <c r="G688" s="14"/>
    </row>
    <row r="689" spans="2:7">
      <c r="B689" s="12"/>
      <c r="D689" s="14"/>
      <c r="E689" s="210"/>
      <c r="F689" s="14"/>
      <c r="G689" s="14"/>
    </row>
    <row r="690" spans="2:7">
      <c r="B690" s="12"/>
      <c r="D690" s="14"/>
      <c r="E690" s="210"/>
      <c r="F690" s="14"/>
      <c r="G690" s="14"/>
    </row>
    <row r="691" spans="2:7">
      <c r="B691" s="12"/>
      <c r="D691" s="14"/>
      <c r="E691" s="210"/>
      <c r="F691" s="14"/>
      <c r="G691" s="14"/>
    </row>
    <row r="692" spans="2:7">
      <c r="B692" s="12"/>
      <c r="D692" s="14"/>
      <c r="E692" s="210"/>
      <c r="F692" s="14"/>
      <c r="G692" s="14"/>
    </row>
    <row r="693" spans="2:7">
      <c r="B693" s="12"/>
      <c r="D693" s="14"/>
      <c r="E693" s="210"/>
      <c r="F693" s="14"/>
      <c r="G693" s="14"/>
    </row>
    <row r="694" spans="2:7">
      <c r="B694" s="12"/>
      <c r="D694" s="14"/>
      <c r="E694" s="210"/>
      <c r="F694" s="14"/>
      <c r="G694" s="14"/>
    </row>
    <row r="695" spans="2:7">
      <c r="B695" s="12"/>
      <c r="D695" s="14"/>
      <c r="E695" s="210"/>
      <c r="F695" s="14"/>
      <c r="G695" s="14"/>
    </row>
    <row r="696" spans="2:7">
      <c r="B696" s="12"/>
      <c r="D696" s="14"/>
      <c r="E696" s="210"/>
      <c r="F696" s="14"/>
      <c r="G696" s="14"/>
    </row>
    <row r="697" spans="2:7">
      <c r="B697" s="12"/>
      <c r="D697" s="14"/>
      <c r="E697" s="210"/>
      <c r="F697" s="14"/>
      <c r="G697" s="14"/>
    </row>
    <row r="698" spans="2:7">
      <c r="B698" s="12"/>
      <c r="D698" s="14"/>
      <c r="E698" s="210"/>
      <c r="F698" s="14"/>
      <c r="G698" s="14"/>
    </row>
    <row r="699" spans="2:7">
      <c r="B699" s="12"/>
      <c r="D699" s="14"/>
      <c r="E699" s="210"/>
      <c r="F699" s="14"/>
      <c r="G699" s="14"/>
    </row>
    <row r="700" spans="2:7">
      <c r="B700" s="12"/>
      <c r="D700" s="14"/>
      <c r="E700" s="210"/>
      <c r="F700" s="14"/>
      <c r="G700" s="14"/>
    </row>
    <row r="701" spans="2:7">
      <c r="B701" s="12"/>
      <c r="D701" s="14"/>
      <c r="E701" s="210"/>
      <c r="F701" s="14"/>
      <c r="G701" s="14"/>
    </row>
    <row r="702" spans="2:7">
      <c r="B702" s="12"/>
      <c r="D702" s="14"/>
      <c r="E702" s="210"/>
      <c r="F702" s="14"/>
      <c r="G702" s="14"/>
    </row>
    <row r="703" spans="2:7">
      <c r="B703" s="12"/>
      <c r="D703" s="14"/>
      <c r="E703" s="210"/>
      <c r="F703" s="14"/>
      <c r="G703" s="14"/>
    </row>
    <row r="704" spans="2:7">
      <c r="B704" s="12"/>
      <c r="D704" s="14"/>
      <c r="E704" s="210"/>
      <c r="F704" s="14"/>
      <c r="G704" s="14"/>
    </row>
    <row r="705" spans="2:7">
      <c r="B705" s="12"/>
      <c r="D705" s="14"/>
      <c r="E705" s="210"/>
      <c r="F705" s="14"/>
      <c r="G705" s="14"/>
    </row>
    <row r="706" spans="2:7">
      <c r="B706" s="12"/>
      <c r="D706" s="14"/>
      <c r="E706" s="210"/>
      <c r="F706" s="14"/>
      <c r="G706" s="14"/>
    </row>
    <row r="707" spans="2:7">
      <c r="B707" s="12"/>
      <c r="D707" s="14"/>
      <c r="E707" s="210"/>
      <c r="F707" s="14"/>
      <c r="G707" s="14"/>
    </row>
    <row r="708" spans="2:7">
      <c r="B708" s="12"/>
      <c r="D708" s="14"/>
      <c r="E708" s="210"/>
      <c r="F708" s="14"/>
      <c r="G708" s="14"/>
    </row>
    <row r="709" spans="2:7">
      <c r="B709" s="12"/>
      <c r="D709" s="14"/>
      <c r="E709" s="210"/>
      <c r="F709" s="14"/>
      <c r="G709" s="14"/>
    </row>
    <row r="710" spans="2:7">
      <c r="B710" s="12"/>
      <c r="D710" s="14"/>
      <c r="E710" s="210"/>
      <c r="F710" s="14"/>
      <c r="G710" s="14"/>
    </row>
    <row r="711" spans="2:7">
      <c r="B711" s="12"/>
      <c r="D711" s="14"/>
      <c r="E711" s="210"/>
      <c r="F711" s="14"/>
      <c r="G711" s="14"/>
    </row>
    <row r="712" spans="2:7">
      <c r="B712" s="12"/>
      <c r="D712" s="14"/>
      <c r="E712" s="210"/>
      <c r="F712" s="14"/>
      <c r="G712" s="14"/>
    </row>
    <row r="713" spans="2:7">
      <c r="B713" s="12"/>
      <c r="D713" s="14"/>
      <c r="E713" s="210"/>
      <c r="F713" s="14"/>
      <c r="G713" s="14"/>
    </row>
    <row r="714" spans="2:7">
      <c r="B714" s="12"/>
      <c r="D714" s="14"/>
      <c r="E714" s="210"/>
      <c r="F714" s="14"/>
      <c r="G714" s="14"/>
    </row>
    <row r="715" spans="2:7">
      <c r="B715" s="12"/>
      <c r="D715" s="14"/>
      <c r="E715" s="210"/>
      <c r="F715" s="14"/>
      <c r="G715" s="14"/>
    </row>
    <row r="716" spans="2:7">
      <c r="B716" s="12"/>
      <c r="D716" s="14"/>
      <c r="E716" s="210"/>
      <c r="F716" s="14"/>
      <c r="G716" s="14"/>
    </row>
    <row r="717" spans="2:7">
      <c r="B717" s="12"/>
      <c r="D717" s="14"/>
      <c r="E717" s="210"/>
      <c r="F717" s="14"/>
      <c r="G717" s="14"/>
    </row>
    <row r="718" spans="2:7">
      <c r="B718" s="12"/>
      <c r="D718" s="14"/>
      <c r="E718" s="210"/>
      <c r="F718" s="14"/>
      <c r="G718" s="14"/>
    </row>
    <row r="719" spans="2:7">
      <c r="B719" s="12"/>
      <c r="D719" s="14"/>
      <c r="E719" s="210"/>
      <c r="F719" s="14"/>
      <c r="G719" s="14"/>
    </row>
    <row r="720" spans="2:7">
      <c r="B720" s="12"/>
      <c r="D720" s="14"/>
      <c r="E720" s="210"/>
      <c r="F720" s="14"/>
      <c r="G720" s="14"/>
    </row>
    <row r="721" spans="2:7">
      <c r="B721" s="12"/>
      <c r="D721" s="14"/>
      <c r="E721" s="210"/>
      <c r="F721" s="14"/>
      <c r="G721" s="14"/>
    </row>
    <row r="722" spans="2:7">
      <c r="B722" s="12"/>
      <c r="D722" s="14"/>
      <c r="E722" s="210"/>
      <c r="F722" s="14"/>
      <c r="G722" s="14"/>
    </row>
    <row r="723" spans="2:7">
      <c r="B723" s="12"/>
      <c r="D723" s="14"/>
      <c r="E723" s="210"/>
      <c r="F723" s="14"/>
      <c r="G723" s="14"/>
    </row>
    <row r="724" spans="2:7">
      <c r="B724" s="12"/>
      <c r="D724" s="14"/>
      <c r="E724" s="210"/>
      <c r="F724" s="14"/>
      <c r="G724" s="14"/>
    </row>
    <row r="725" spans="2:7">
      <c r="B725" s="12"/>
      <c r="D725" s="14"/>
      <c r="E725" s="210"/>
      <c r="F725" s="14"/>
      <c r="G725" s="14"/>
    </row>
    <row r="726" spans="2:7">
      <c r="B726" s="12"/>
      <c r="D726" s="14"/>
      <c r="E726" s="210"/>
      <c r="F726" s="14"/>
      <c r="G726" s="14"/>
    </row>
    <row r="727" spans="2:7">
      <c r="B727" s="12"/>
      <c r="D727" s="14"/>
      <c r="E727" s="210"/>
      <c r="F727" s="14"/>
      <c r="G727" s="14"/>
    </row>
    <row r="728" spans="2:7">
      <c r="B728" s="12"/>
      <c r="D728" s="14"/>
      <c r="E728" s="210"/>
      <c r="F728" s="14"/>
      <c r="G728" s="14"/>
    </row>
    <row r="729" spans="2:7">
      <c r="B729" s="12"/>
      <c r="D729" s="14"/>
      <c r="E729" s="210"/>
      <c r="F729" s="14"/>
      <c r="G729" s="14"/>
    </row>
    <row r="730" spans="2:7">
      <c r="B730" s="12"/>
      <c r="D730" s="14"/>
      <c r="E730" s="210"/>
      <c r="F730" s="14"/>
      <c r="G730" s="14"/>
    </row>
    <row r="731" spans="2:7">
      <c r="B731" s="12"/>
      <c r="D731" s="14"/>
      <c r="E731" s="210"/>
      <c r="F731" s="14"/>
      <c r="G731" s="14"/>
    </row>
    <row r="732" spans="2:7">
      <c r="B732" s="12"/>
      <c r="D732" s="14"/>
      <c r="E732" s="210"/>
      <c r="F732" s="14"/>
      <c r="G732" s="14"/>
    </row>
    <row r="733" spans="2:7">
      <c r="B733" s="12"/>
      <c r="D733" s="14"/>
      <c r="E733" s="210"/>
      <c r="F733" s="14"/>
      <c r="G733" s="14"/>
    </row>
    <row r="734" spans="2:7">
      <c r="B734" s="12"/>
      <c r="D734" s="14"/>
      <c r="E734" s="210"/>
      <c r="F734" s="14"/>
      <c r="G734" s="14"/>
    </row>
    <row r="735" spans="2:7">
      <c r="B735" s="12"/>
      <c r="D735" s="14"/>
      <c r="E735" s="210"/>
      <c r="F735" s="14"/>
      <c r="G735" s="14"/>
    </row>
    <row r="736" spans="2:7">
      <c r="B736" s="12"/>
      <c r="D736" s="14"/>
      <c r="E736" s="210"/>
      <c r="F736" s="14"/>
      <c r="G736" s="14"/>
    </row>
    <row r="737" spans="2:7">
      <c r="B737" s="12"/>
      <c r="D737" s="14"/>
      <c r="E737" s="210"/>
      <c r="F737" s="14"/>
      <c r="G737" s="14"/>
    </row>
    <row r="738" spans="2:7">
      <c r="B738" s="12"/>
      <c r="D738" s="14"/>
      <c r="E738" s="210"/>
      <c r="F738" s="14"/>
      <c r="G738" s="14"/>
    </row>
    <row r="739" spans="2:7">
      <c r="B739" s="12"/>
      <c r="D739" s="14"/>
      <c r="E739" s="210"/>
      <c r="F739" s="14"/>
      <c r="G739" s="14"/>
    </row>
    <row r="740" spans="2:7">
      <c r="B740" s="12"/>
      <c r="D740" s="14"/>
      <c r="E740" s="210"/>
      <c r="F740" s="14"/>
      <c r="G740" s="14"/>
    </row>
    <row r="741" spans="2:7">
      <c r="B741" s="12"/>
      <c r="D741" s="14"/>
      <c r="E741" s="210"/>
      <c r="F741" s="14"/>
      <c r="G741" s="14"/>
    </row>
    <row r="742" spans="2:7">
      <c r="B742" s="12"/>
      <c r="D742" s="14"/>
      <c r="E742" s="210"/>
      <c r="F742" s="14"/>
      <c r="G742" s="14"/>
    </row>
    <row r="743" spans="2:7">
      <c r="B743" s="12"/>
      <c r="D743" s="14"/>
      <c r="E743" s="210"/>
      <c r="F743" s="14"/>
      <c r="G743" s="14"/>
    </row>
    <row r="744" spans="2:7">
      <c r="B744" s="12"/>
      <c r="D744" s="14"/>
      <c r="E744" s="210"/>
      <c r="F744" s="14"/>
      <c r="G744" s="14"/>
    </row>
    <row r="745" spans="2:7">
      <c r="B745" s="12"/>
      <c r="D745" s="14"/>
      <c r="E745" s="210"/>
      <c r="F745" s="14"/>
      <c r="G745" s="14"/>
    </row>
    <row r="746" spans="2:7">
      <c r="B746" s="12"/>
      <c r="D746" s="14"/>
      <c r="E746" s="210"/>
      <c r="F746" s="14"/>
      <c r="G746" s="14"/>
    </row>
    <row r="747" spans="2:7">
      <c r="B747" s="12"/>
      <c r="D747" s="14"/>
      <c r="E747" s="210"/>
      <c r="F747" s="14"/>
      <c r="G747" s="14"/>
    </row>
    <row r="748" spans="2:7">
      <c r="B748" s="12"/>
      <c r="D748" s="14"/>
      <c r="E748" s="210"/>
      <c r="F748" s="14"/>
      <c r="G748" s="14"/>
    </row>
    <row r="749" spans="2:7">
      <c r="B749" s="12"/>
      <c r="D749" s="14"/>
      <c r="E749" s="210"/>
      <c r="F749" s="14"/>
      <c r="G749" s="14"/>
    </row>
    <row r="750" spans="2:7">
      <c r="B750" s="12"/>
      <c r="D750" s="14"/>
      <c r="E750" s="210"/>
      <c r="F750" s="14"/>
      <c r="G750" s="14"/>
    </row>
    <row r="751" spans="2:7">
      <c r="B751" s="12"/>
      <c r="D751" s="14"/>
      <c r="E751" s="210"/>
      <c r="F751" s="14"/>
      <c r="G751" s="14"/>
    </row>
    <row r="752" spans="2:7">
      <c r="B752" s="12"/>
      <c r="D752" s="14"/>
      <c r="E752" s="210"/>
      <c r="F752" s="14"/>
      <c r="G752" s="14"/>
    </row>
    <row r="753" spans="2:7">
      <c r="B753" s="12"/>
      <c r="D753" s="14"/>
      <c r="E753" s="210"/>
      <c r="F753" s="14"/>
      <c r="G753" s="14"/>
    </row>
    <row r="754" spans="2:7">
      <c r="B754" s="12"/>
      <c r="D754" s="14"/>
      <c r="E754" s="210"/>
      <c r="F754" s="14"/>
      <c r="G754" s="14"/>
    </row>
    <row r="755" spans="2:7">
      <c r="B755" s="12"/>
      <c r="D755" s="14"/>
      <c r="E755" s="210"/>
      <c r="F755" s="14"/>
      <c r="G755" s="14"/>
    </row>
    <row r="756" spans="2:7">
      <c r="B756" s="12"/>
      <c r="D756" s="14"/>
      <c r="E756" s="210"/>
      <c r="F756" s="14"/>
      <c r="G756" s="14"/>
    </row>
    <row r="757" spans="2:7">
      <c r="B757" s="12"/>
      <c r="D757" s="14"/>
      <c r="E757" s="210"/>
      <c r="F757" s="14"/>
      <c r="G757" s="14"/>
    </row>
    <row r="758" spans="2:7">
      <c r="B758" s="12"/>
      <c r="D758" s="14"/>
      <c r="E758" s="210"/>
      <c r="F758" s="14"/>
      <c r="G758" s="14"/>
    </row>
    <row r="759" spans="2:7">
      <c r="B759" s="12"/>
      <c r="D759" s="14"/>
      <c r="E759" s="210"/>
      <c r="F759" s="14"/>
      <c r="G759" s="14"/>
    </row>
    <row r="760" spans="2:7">
      <c r="B760" s="12"/>
      <c r="D760" s="14"/>
      <c r="E760" s="210"/>
      <c r="F760" s="14"/>
      <c r="G760" s="14"/>
    </row>
    <row r="761" spans="2:7">
      <c r="B761" s="12"/>
      <c r="D761" s="14"/>
      <c r="E761" s="210"/>
      <c r="F761" s="14"/>
      <c r="G761" s="14"/>
    </row>
    <row r="762" spans="2:7">
      <c r="B762" s="12"/>
      <c r="D762" s="14"/>
      <c r="E762" s="210"/>
      <c r="F762" s="14"/>
      <c r="G762" s="14"/>
    </row>
    <row r="763" spans="2:7">
      <c r="B763" s="12"/>
      <c r="D763" s="14"/>
      <c r="E763" s="210"/>
      <c r="F763" s="14"/>
      <c r="G763" s="14"/>
    </row>
    <row r="764" spans="2:7">
      <c r="B764" s="12"/>
      <c r="D764" s="14"/>
      <c r="E764" s="210"/>
      <c r="F764" s="14"/>
      <c r="G764" s="14"/>
    </row>
    <row r="765" spans="2:7">
      <c r="B765" s="12"/>
      <c r="D765" s="14"/>
      <c r="E765" s="210"/>
      <c r="F765" s="14"/>
      <c r="G765" s="14"/>
    </row>
    <row r="766" spans="2:7">
      <c r="B766" s="12"/>
      <c r="D766" s="14"/>
      <c r="E766" s="210"/>
      <c r="F766" s="14"/>
      <c r="G766" s="14"/>
    </row>
    <row r="767" spans="2:7">
      <c r="B767" s="12"/>
      <c r="D767" s="14"/>
      <c r="E767" s="210"/>
      <c r="F767" s="14"/>
      <c r="G767" s="14"/>
    </row>
    <row r="768" spans="2:7">
      <c r="B768" s="12"/>
      <c r="D768" s="14"/>
      <c r="E768" s="210"/>
      <c r="F768" s="14"/>
      <c r="G768" s="14"/>
    </row>
    <row r="769" spans="2:7">
      <c r="B769" s="12"/>
      <c r="D769" s="14"/>
      <c r="E769" s="210"/>
      <c r="F769" s="14"/>
      <c r="G769" s="14"/>
    </row>
    <row r="770" spans="2:7">
      <c r="B770" s="12"/>
      <c r="D770" s="14"/>
      <c r="E770" s="210"/>
      <c r="F770" s="14"/>
      <c r="G770" s="14"/>
    </row>
    <row r="771" spans="2:7">
      <c r="B771" s="12"/>
      <c r="D771" s="14"/>
      <c r="E771" s="210"/>
      <c r="F771" s="14"/>
      <c r="G771" s="14"/>
    </row>
    <row r="772" spans="2:7">
      <c r="B772" s="12"/>
      <c r="D772" s="14"/>
      <c r="E772" s="210"/>
      <c r="F772" s="14"/>
      <c r="G772" s="14"/>
    </row>
    <row r="773" spans="2:7">
      <c r="B773" s="12"/>
      <c r="D773" s="14"/>
      <c r="E773" s="210"/>
      <c r="F773" s="14"/>
      <c r="G773" s="14"/>
    </row>
    <row r="774" spans="2:7">
      <c r="B774" s="12"/>
      <c r="D774" s="14"/>
      <c r="E774" s="210"/>
      <c r="F774" s="14"/>
      <c r="G774" s="14"/>
    </row>
    <row r="775" spans="2:7">
      <c r="B775" s="12"/>
      <c r="D775" s="14"/>
      <c r="E775" s="210"/>
      <c r="F775" s="14"/>
      <c r="G775" s="14"/>
    </row>
    <row r="776" spans="2:7">
      <c r="B776" s="12"/>
      <c r="D776" s="14"/>
      <c r="E776" s="210"/>
      <c r="F776" s="14"/>
      <c r="G776" s="14"/>
    </row>
    <row r="777" spans="2:7">
      <c r="B777" s="12"/>
      <c r="D777" s="14"/>
      <c r="E777" s="210"/>
      <c r="F777" s="14"/>
      <c r="G777" s="14"/>
    </row>
    <row r="778" spans="2:7">
      <c r="B778" s="12"/>
      <c r="D778" s="14"/>
      <c r="E778" s="210"/>
      <c r="F778" s="14"/>
      <c r="G778" s="14"/>
    </row>
    <row r="779" spans="2:7">
      <c r="B779" s="12"/>
      <c r="D779" s="14"/>
      <c r="E779" s="210"/>
      <c r="F779" s="14"/>
      <c r="G779" s="14"/>
    </row>
    <row r="780" spans="2:7">
      <c r="B780" s="12"/>
      <c r="D780" s="14"/>
      <c r="E780" s="210"/>
      <c r="F780" s="14"/>
      <c r="G780" s="14"/>
    </row>
    <row r="781" spans="2:7">
      <c r="B781" s="12"/>
      <c r="D781" s="14"/>
      <c r="E781" s="210"/>
      <c r="F781" s="14"/>
      <c r="G781" s="14"/>
    </row>
    <row r="782" spans="2:7">
      <c r="B782" s="12"/>
      <c r="D782" s="14"/>
      <c r="E782" s="210"/>
      <c r="F782" s="14"/>
      <c r="G782" s="14"/>
    </row>
    <row r="783" spans="2:7">
      <c r="B783" s="12"/>
      <c r="D783" s="14"/>
      <c r="E783" s="210"/>
      <c r="F783" s="14"/>
      <c r="G783" s="14"/>
    </row>
    <row r="784" spans="2:7">
      <c r="B784" s="12"/>
      <c r="D784" s="14"/>
      <c r="E784" s="210"/>
      <c r="F784" s="14"/>
      <c r="G784" s="14"/>
    </row>
    <row r="785" spans="2:7">
      <c r="B785" s="12"/>
      <c r="D785" s="14"/>
      <c r="E785" s="210"/>
      <c r="F785" s="14"/>
      <c r="G785" s="14"/>
    </row>
    <row r="786" spans="2:7">
      <c r="B786" s="12"/>
      <c r="D786" s="14"/>
      <c r="E786" s="210"/>
      <c r="F786" s="14"/>
      <c r="G786" s="14"/>
    </row>
    <row r="787" spans="2:7">
      <c r="B787" s="12"/>
      <c r="D787" s="14"/>
      <c r="E787" s="210"/>
      <c r="F787" s="14"/>
      <c r="G787" s="14"/>
    </row>
    <row r="788" spans="2:7">
      <c r="B788" s="12"/>
      <c r="D788" s="14"/>
      <c r="E788" s="210"/>
      <c r="F788" s="14"/>
      <c r="G788" s="14"/>
    </row>
    <row r="789" spans="2:7">
      <c r="B789" s="12"/>
      <c r="D789" s="14"/>
      <c r="E789" s="210"/>
      <c r="F789" s="14"/>
      <c r="G789" s="14"/>
    </row>
    <row r="790" spans="2:7">
      <c r="B790" s="12"/>
      <c r="D790" s="14"/>
      <c r="E790" s="210"/>
      <c r="F790" s="14"/>
      <c r="G790" s="14"/>
    </row>
    <row r="791" spans="2:7">
      <c r="B791" s="12"/>
      <c r="D791" s="14"/>
      <c r="E791" s="210"/>
      <c r="F791" s="14"/>
      <c r="G791" s="14"/>
    </row>
    <row r="792" spans="2:7">
      <c r="B792" s="12"/>
      <c r="D792" s="14"/>
      <c r="E792" s="210"/>
      <c r="F792" s="14"/>
      <c r="G792" s="14"/>
    </row>
    <row r="793" spans="2:7">
      <c r="B793" s="12"/>
      <c r="D793" s="14"/>
      <c r="E793" s="210"/>
      <c r="F793" s="14"/>
      <c r="G793" s="14"/>
    </row>
    <row r="794" spans="2:7">
      <c r="B794" s="12"/>
      <c r="D794" s="14"/>
      <c r="E794" s="210"/>
      <c r="F794" s="14"/>
      <c r="G794" s="14"/>
    </row>
    <row r="795" spans="2:7">
      <c r="B795" s="12"/>
      <c r="D795" s="14"/>
      <c r="E795" s="210"/>
      <c r="F795" s="14"/>
      <c r="G795" s="14"/>
    </row>
    <row r="796" spans="2:7">
      <c r="B796" s="12"/>
      <c r="D796" s="14"/>
      <c r="E796" s="210"/>
      <c r="F796" s="14"/>
      <c r="G796" s="14"/>
    </row>
    <row r="797" spans="2:7">
      <c r="B797" s="12"/>
      <c r="D797" s="14"/>
      <c r="E797" s="210"/>
      <c r="F797" s="14"/>
      <c r="G797" s="14"/>
    </row>
    <row r="798" spans="2:7">
      <c r="B798" s="12"/>
      <c r="D798" s="14"/>
      <c r="E798" s="210"/>
      <c r="F798" s="14"/>
      <c r="G798" s="14"/>
    </row>
    <row r="799" spans="2:7">
      <c r="B799" s="12"/>
      <c r="D799" s="14"/>
      <c r="E799" s="210"/>
      <c r="F799" s="14"/>
      <c r="G799" s="14"/>
    </row>
    <row r="800" spans="2:7">
      <c r="B800" s="12"/>
      <c r="D800" s="14"/>
      <c r="E800" s="210"/>
      <c r="F800" s="14"/>
      <c r="G800" s="14"/>
    </row>
    <row r="801" spans="2:7">
      <c r="B801" s="12"/>
      <c r="D801" s="14"/>
      <c r="E801" s="210"/>
      <c r="F801" s="14"/>
      <c r="G801" s="14"/>
    </row>
    <row r="802" spans="2:7">
      <c r="B802" s="12"/>
      <c r="D802" s="14"/>
      <c r="E802" s="210"/>
      <c r="F802" s="14"/>
      <c r="G802" s="14"/>
    </row>
    <row r="803" spans="2:7">
      <c r="B803" s="12"/>
      <c r="D803" s="14"/>
      <c r="E803" s="210"/>
      <c r="F803" s="14"/>
      <c r="G803" s="14"/>
    </row>
    <row r="804" spans="2:7">
      <c r="B804" s="12"/>
      <c r="D804" s="14"/>
      <c r="E804" s="210"/>
      <c r="F804" s="14"/>
      <c r="G804" s="14"/>
    </row>
    <row r="805" spans="2:7">
      <c r="B805" s="12"/>
      <c r="D805" s="14"/>
      <c r="E805" s="210"/>
      <c r="F805" s="14"/>
      <c r="G805" s="14"/>
    </row>
    <row r="806" spans="2:7">
      <c r="B806" s="12"/>
      <c r="D806" s="14"/>
      <c r="E806" s="210"/>
      <c r="F806" s="14"/>
      <c r="G806" s="14"/>
    </row>
    <row r="807" spans="2:7">
      <c r="B807" s="12"/>
      <c r="D807" s="14"/>
      <c r="E807" s="210"/>
      <c r="F807" s="14"/>
      <c r="G807" s="14"/>
    </row>
    <row r="808" spans="2:7">
      <c r="B808" s="12"/>
      <c r="D808" s="14"/>
      <c r="E808" s="210"/>
      <c r="F808" s="14"/>
      <c r="G808" s="14"/>
    </row>
    <row r="809" spans="2:7">
      <c r="B809" s="12"/>
      <c r="D809" s="14"/>
      <c r="E809" s="210"/>
      <c r="F809" s="14"/>
      <c r="G809" s="14"/>
    </row>
    <row r="810" spans="2:7">
      <c r="B810" s="12"/>
      <c r="D810" s="14"/>
      <c r="E810" s="210"/>
      <c r="F810" s="14"/>
      <c r="G810" s="14"/>
    </row>
    <row r="811" spans="2:7">
      <c r="B811" s="12"/>
      <c r="D811" s="14"/>
      <c r="E811" s="210"/>
      <c r="F811" s="14"/>
      <c r="G811" s="14"/>
    </row>
    <row r="812" spans="2:7">
      <c r="B812" s="12"/>
      <c r="D812" s="14"/>
      <c r="E812" s="210"/>
      <c r="F812" s="14"/>
      <c r="G812" s="14"/>
    </row>
    <row r="813" spans="2:7">
      <c r="B813" s="12"/>
      <c r="D813" s="14"/>
      <c r="E813" s="210"/>
      <c r="F813" s="14"/>
      <c r="G813" s="14"/>
    </row>
    <row r="814" spans="2:7">
      <c r="B814" s="12"/>
      <c r="D814" s="14"/>
      <c r="E814" s="210"/>
      <c r="F814" s="14"/>
      <c r="G814" s="14"/>
    </row>
    <row r="815" spans="2:7">
      <c r="B815" s="12"/>
      <c r="D815" s="14"/>
      <c r="E815" s="210"/>
      <c r="F815" s="14"/>
      <c r="G815" s="14"/>
    </row>
    <row r="816" spans="2:7">
      <c r="B816" s="12"/>
      <c r="D816" s="14"/>
      <c r="E816" s="210"/>
      <c r="F816" s="14"/>
      <c r="G816" s="14"/>
    </row>
    <row r="817" spans="2:7">
      <c r="B817" s="12"/>
      <c r="D817" s="14"/>
      <c r="E817" s="210"/>
      <c r="F817" s="14"/>
      <c r="G817" s="14"/>
    </row>
    <row r="818" spans="2:7">
      <c r="B818" s="12"/>
      <c r="D818" s="14"/>
      <c r="E818" s="210"/>
      <c r="F818" s="14"/>
      <c r="G818" s="14"/>
    </row>
    <row r="819" spans="2:7">
      <c r="B819" s="12"/>
      <c r="D819" s="14"/>
      <c r="E819" s="210"/>
      <c r="F819" s="14"/>
      <c r="G819" s="14"/>
    </row>
    <row r="820" spans="2:7">
      <c r="B820" s="12"/>
      <c r="D820" s="14"/>
      <c r="E820" s="210"/>
      <c r="F820" s="14"/>
      <c r="G820" s="14"/>
    </row>
    <row r="821" spans="2:7">
      <c r="B821" s="12"/>
      <c r="D821" s="14"/>
      <c r="E821" s="210"/>
      <c r="F821" s="14"/>
      <c r="G821" s="14"/>
    </row>
    <row r="822" spans="2:7">
      <c r="B822" s="12"/>
      <c r="D822" s="14"/>
      <c r="E822" s="210"/>
      <c r="F822" s="14"/>
      <c r="G822" s="14"/>
    </row>
    <row r="823" spans="2:7">
      <c r="B823" s="12"/>
      <c r="D823" s="14"/>
      <c r="E823" s="210"/>
      <c r="F823" s="14"/>
      <c r="G823" s="14"/>
    </row>
    <row r="824" spans="2:7">
      <c r="B824" s="12"/>
      <c r="D824" s="14"/>
      <c r="E824" s="210"/>
      <c r="F824" s="14"/>
      <c r="G824" s="14"/>
    </row>
    <row r="825" spans="2:7">
      <c r="B825" s="12"/>
      <c r="D825" s="14"/>
      <c r="E825" s="210"/>
      <c r="F825" s="14"/>
      <c r="G825" s="14"/>
    </row>
    <row r="826" spans="2:7">
      <c r="B826" s="12"/>
      <c r="D826" s="14"/>
      <c r="E826" s="210"/>
      <c r="F826" s="14"/>
      <c r="G826" s="14"/>
    </row>
    <row r="827" spans="2:7">
      <c r="B827" s="12"/>
      <c r="D827" s="14"/>
      <c r="E827" s="210"/>
      <c r="F827" s="14"/>
      <c r="G827" s="14"/>
    </row>
    <row r="828" spans="2:7">
      <c r="B828" s="12"/>
      <c r="D828" s="14"/>
      <c r="E828" s="210"/>
      <c r="F828" s="14"/>
      <c r="G828" s="14"/>
    </row>
    <row r="829" spans="2:7">
      <c r="B829" s="12"/>
      <c r="D829" s="14"/>
      <c r="E829" s="210"/>
      <c r="F829" s="14"/>
      <c r="G829" s="14"/>
    </row>
    <row r="830" spans="2:7">
      <c r="B830" s="12"/>
      <c r="D830" s="14"/>
      <c r="E830" s="210"/>
      <c r="F830" s="14"/>
      <c r="G830" s="14"/>
    </row>
    <row r="831" spans="2:7">
      <c r="B831" s="12"/>
      <c r="D831" s="14"/>
      <c r="E831" s="210"/>
      <c r="F831" s="14"/>
      <c r="G831" s="14"/>
    </row>
    <row r="832" spans="2:7">
      <c r="B832" s="12"/>
      <c r="D832" s="14"/>
      <c r="E832" s="210"/>
      <c r="F832" s="14"/>
      <c r="G832" s="14"/>
    </row>
    <row r="833" spans="2:7">
      <c r="B833" s="12"/>
      <c r="D833" s="14"/>
      <c r="E833" s="210"/>
      <c r="F833" s="14"/>
      <c r="G833" s="14"/>
    </row>
    <row r="834" spans="2:7">
      <c r="B834" s="12"/>
      <c r="D834" s="14"/>
      <c r="E834" s="210"/>
      <c r="F834" s="14"/>
      <c r="G834" s="14"/>
    </row>
    <row r="835" spans="2:7">
      <c r="B835" s="12"/>
      <c r="D835" s="14"/>
      <c r="E835" s="210"/>
      <c r="F835" s="14"/>
      <c r="G835" s="14"/>
    </row>
    <row r="836" spans="2:7">
      <c r="B836" s="12"/>
      <c r="D836" s="14"/>
      <c r="E836" s="210"/>
      <c r="F836" s="14"/>
      <c r="G836" s="14"/>
    </row>
    <row r="837" spans="2:7">
      <c r="B837" s="12"/>
      <c r="D837" s="14"/>
      <c r="E837" s="210"/>
      <c r="F837" s="14"/>
      <c r="G837" s="14"/>
    </row>
    <row r="838" spans="2:7">
      <c r="B838" s="12"/>
      <c r="D838" s="14"/>
      <c r="E838" s="210"/>
      <c r="F838" s="14"/>
      <c r="G838" s="14"/>
    </row>
    <row r="839" spans="2:7">
      <c r="B839" s="12"/>
      <c r="D839" s="14"/>
      <c r="E839" s="210"/>
      <c r="F839" s="14"/>
      <c r="G839" s="14"/>
    </row>
    <row r="840" spans="2:7">
      <c r="B840" s="12"/>
      <c r="D840" s="14"/>
      <c r="E840" s="210"/>
      <c r="F840" s="14"/>
      <c r="G840" s="14"/>
    </row>
    <row r="841" spans="2:7">
      <c r="B841" s="12"/>
      <c r="D841" s="14"/>
      <c r="E841" s="210"/>
      <c r="F841" s="14"/>
      <c r="G841" s="14"/>
    </row>
    <row r="842" spans="2:7">
      <c r="B842" s="12"/>
      <c r="D842" s="14"/>
      <c r="E842" s="210"/>
      <c r="F842" s="14"/>
      <c r="G842" s="14"/>
    </row>
    <row r="843" spans="2:7">
      <c r="B843" s="12"/>
      <c r="D843" s="14"/>
      <c r="E843" s="210"/>
      <c r="F843" s="14"/>
      <c r="G843" s="14"/>
    </row>
    <row r="844" spans="2:7">
      <c r="B844" s="12"/>
      <c r="D844" s="14"/>
      <c r="E844" s="210"/>
      <c r="F844" s="14"/>
      <c r="G844" s="14"/>
    </row>
    <row r="845" spans="2:7">
      <c r="B845" s="12"/>
      <c r="D845" s="14"/>
      <c r="E845" s="210"/>
      <c r="F845" s="14"/>
      <c r="G845" s="14"/>
    </row>
    <row r="846" spans="2:7">
      <c r="B846" s="12"/>
      <c r="D846" s="14"/>
      <c r="E846" s="210"/>
      <c r="F846" s="14"/>
      <c r="G846" s="14"/>
    </row>
    <row r="847" spans="2:7">
      <c r="B847" s="12"/>
      <c r="D847" s="14"/>
      <c r="E847" s="210"/>
      <c r="F847" s="14"/>
      <c r="G847" s="14"/>
    </row>
    <row r="848" spans="2:7">
      <c r="B848" s="12"/>
      <c r="D848" s="14"/>
      <c r="E848" s="210"/>
      <c r="F848" s="14"/>
      <c r="G848" s="14"/>
    </row>
    <row r="849" spans="2:7">
      <c r="B849" s="12"/>
      <c r="D849" s="14"/>
      <c r="E849" s="210"/>
      <c r="F849" s="14"/>
      <c r="G849" s="14"/>
    </row>
    <row r="850" spans="2:7">
      <c r="B850" s="12"/>
      <c r="D850" s="14"/>
      <c r="E850" s="210"/>
      <c r="F850" s="14"/>
      <c r="G850" s="14"/>
    </row>
    <row r="851" spans="2:7">
      <c r="B851" s="12"/>
      <c r="D851" s="14"/>
      <c r="E851" s="210"/>
      <c r="F851" s="14"/>
      <c r="G851" s="14"/>
    </row>
    <row r="852" spans="2:7">
      <c r="B852" s="12"/>
      <c r="D852" s="14"/>
      <c r="E852" s="210"/>
      <c r="F852" s="14"/>
      <c r="G852" s="14"/>
    </row>
    <row r="853" spans="2:7">
      <c r="B853" s="12"/>
      <c r="D853" s="14"/>
      <c r="E853" s="210"/>
      <c r="F853" s="14"/>
      <c r="G853" s="14"/>
    </row>
    <row r="854" spans="2:7">
      <c r="B854" s="12"/>
      <c r="D854" s="14"/>
      <c r="E854" s="210"/>
      <c r="F854" s="14"/>
      <c r="G854" s="14"/>
    </row>
    <row r="855" spans="2:7">
      <c r="B855" s="12"/>
      <c r="D855" s="14"/>
      <c r="E855" s="210"/>
      <c r="F855" s="14"/>
      <c r="G855" s="14"/>
    </row>
    <row r="856" spans="2:7">
      <c r="B856" s="12"/>
      <c r="D856" s="14"/>
      <c r="E856" s="210"/>
      <c r="F856" s="14"/>
      <c r="G856" s="14"/>
    </row>
    <row r="857" spans="2:7">
      <c r="B857" s="12"/>
      <c r="D857" s="14"/>
      <c r="E857" s="210"/>
      <c r="F857" s="14"/>
      <c r="G857" s="14"/>
    </row>
    <row r="858" spans="2:7">
      <c r="B858" s="12"/>
      <c r="D858" s="14"/>
      <c r="E858" s="210"/>
      <c r="F858" s="14"/>
      <c r="G858" s="14"/>
    </row>
    <row r="859" spans="2:7">
      <c r="B859" s="12"/>
      <c r="D859" s="14"/>
      <c r="E859" s="210"/>
      <c r="F859" s="14"/>
      <c r="G859" s="14"/>
    </row>
    <row r="860" spans="2:7">
      <c r="B860" s="12"/>
      <c r="D860" s="14"/>
      <c r="E860" s="210"/>
      <c r="F860" s="14"/>
      <c r="G860" s="14"/>
    </row>
    <row r="861" spans="2:7">
      <c r="B861" s="12"/>
      <c r="D861" s="14"/>
      <c r="E861" s="210"/>
      <c r="F861" s="14"/>
      <c r="G861" s="14"/>
    </row>
    <row r="862" spans="2:7">
      <c r="B862" s="12"/>
      <c r="D862" s="14"/>
      <c r="E862" s="210"/>
      <c r="F862" s="14"/>
      <c r="G862" s="14"/>
    </row>
    <row r="863" spans="2:7">
      <c r="B863" s="12"/>
      <c r="D863" s="14"/>
      <c r="E863" s="210"/>
      <c r="F863" s="14"/>
      <c r="G863" s="14"/>
    </row>
    <row r="864" spans="2:7">
      <c r="B864" s="12"/>
      <c r="D864" s="14"/>
      <c r="E864" s="210"/>
      <c r="F864" s="14"/>
      <c r="G864" s="14"/>
    </row>
    <row r="865" spans="2:7">
      <c r="B865" s="12"/>
      <c r="D865" s="13"/>
      <c r="E865" s="210"/>
      <c r="F865" s="14"/>
      <c r="G865" s="14"/>
    </row>
    <row r="866" spans="2:7">
      <c r="B866" s="12"/>
      <c r="D866" s="14"/>
      <c r="E866" s="210"/>
      <c r="F866" s="14"/>
      <c r="G866" s="14"/>
    </row>
    <row r="867" spans="2:7">
      <c r="B867" s="12"/>
      <c r="D867" s="14"/>
      <c r="E867" s="210"/>
      <c r="F867" s="14"/>
      <c r="G867" s="14"/>
    </row>
    <row r="868" spans="2:7">
      <c r="B868" s="12"/>
      <c r="D868" s="13"/>
      <c r="E868" s="210"/>
      <c r="F868" s="14"/>
      <c r="G868" s="14"/>
    </row>
    <row r="869" spans="2:7">
      <c r="B869" s="12"/>
      <c r="D869" s="14"/>
      <c r="E869" s="210"/>
      <c r="F869" s="14"/>
      <c r="G869" s="14"/>
    </row>
    <row r="870" spans="2:7">
      <c r="B870" s="12"/>
      <c r="D870" s="14"/>
      <c r="E870" s="210"/>
      <c r="F870" s="14"/>
      <c r="G870" s="14"/>
    </row>
    <row r="871" spans="2:7">
      <c r="B871" s="12"/>
      <c r="D871" s="13"/>
      <c r="E871" s="210"/>
      <c r="F871" s="14"/>
      <c r="G871" s="14"/>
    </row>
    <row r="872" spans="2:7">
      <c r="B872" s="12"/>
      <c r="D872" s="14"/>
      <c r="E872" s="210"/>
      <c r="F872" s="14"/>
      <c r="G872" s="14"/>
    </row>
    <row r="873" spans="2:7">
      <c r="B873" s="12"/>
      <c r="D873" s="14"/>
      <c r="E873" s="210"/>
      <c r="F873" s="14"/>
      <c r="G873" s="14"/>
    </row>
    <row r="874" spans="2:7">
      <c r="B874" s="12"/>
      <c r="D874" s="13"/>
      <c r="E874" s="210"/>
      <c r="F874" s="14"/>
      <c r="G874" s="14"/>
    </row>
    <row r="875" spans="2:7">
      <c r="B875" s="12"/>
      <c r="D875" s="13"/>
      <c r="E875" s="210"/>
      <c r="F875" s="14"/>
      <c r="G875" s="14"/>
    </row>
    <row r="876" spans="2:7">
      <c r="B876" s="12"/>
      <c r="D876" s="13"/>
      <c r="E876" s="210"/>
      <c r="F876" s="14"/>
      <c r="G876" s="14"/>
    </row>
    <row r="877" spans="2:7">
      <c r="B877" s="12"/>
      <c r="D877" s="13"/>
      <c r="E877" s="210"/>
      <c r="F877" s="14"/>
      <c r="G877" s="14"/>
    </row>
    <row r="878" spans="2:7">
      <c r="B878" s="12"/>
      <c r="D878" s="13"/>
      <c r="E878" s="210"/>
      <c r="F878" s="14"/>
      <c r="G878" s="14"/>
    </row>
    <row r="879" spans="2:7">
      <c r="B879" s="12"/>
      <c r="D879" s="13"/>
      <c r="E879" s="210"/>
      <c r="F879" s="14"/>
      <c r="G879" s="14"/>
    </row>
    <row r="880" spans="2:7">
      <c r="B880" s="12"/>
      <c r="D880" s="13"/>
      <c r="E880" s="210"/>
      <c r="F880" s="14"/>
      <c r="G880" s="14"/>
    </row>
    <row r="881" spans="2:7">
      <c r="B881" s="12"/>
      <c r="D881" s="13"/>
      <c r="E881" s="210"/>
      <c r="F881" s="14"/>
      <c r="G881" s="14"/>
    </row>
    <row r="882" spans="2:7">
      <c r="B882" s="12"/>
      <c r="D882" s="13"/>
      <c r="E882" s="210"/>
      <c r="F882" s="14"/>
      <c r="G882" s="14"/>
    </row>
    <row r="883" spans="2:7">
      <c r="B883" s="12"/>
      <c r="D883" s="13"/>
      <c r="E883" s="210"/>
      <c r="F883" s="14"/>
      <c r="G883" s="14"/>
    </row>
    <row r="884" spans="2:7">
      <c r="B884" s="12"/>
      <c r="D884" s="13"/>
      <c r="E884" s="210"/>
      <c r="F884" s="14"/>
      <c r="G884" s="14"/>
    </row>
    <row r="885" spans="2:7">
      <c r="B885" s="12"/>
      <c r="D885" s="13"/>
      <c r="E885" s="210"/>
      <c r="F885" s="14"/>
      <c r="G885" s="14"/>
    </row>
    <row r="886" spans="2:7">
      <c r="B886" s="12"/>
      <c r="D886" s="13"/>
      <c r="E886" s="210"/>
      <c r="F886" s="14"/>
      <c r="G886" s="14"/>
    </row>
    <row r="887" spans="2:7">
      <c r="B887" s="12"/>
      <c r="D887" s="13"/>
      <c r="E887" s="210"/>
      <c r="F887" s="14"/>
      <c r="G887" s="14"/>
    </row>
    <row r="888" spans="2:7">
      <c r="B888" s="12"/>
      <c r="D888" s="13"/>
      <c r="E888" s="210"/>
      <c r="F888" s="14"/>
      <c r="G888" s="14"/>
    </row>
    <row r="889" spans="2:7">
      <c r="B889" s="12"/>
      <c r="D889" s="13"/>
      <c r="E889" s="210"/>
      <c r="F889" s="14"/>
      <c r="G889" s="14"/>
    </row>
    <row r="890" spans="2:7">
      <c r="B890" s="12"/>
      <c r="D890" s="13"/>
      <c r="E890" s="210"/>
      <c r="F890" s="14"/>
      <c r="G890" s="14"/>
    </row>
    <row r="891" spans="2:7">
      <c r="B891" s="12"/>
      <c r="D891" s="13"/>
      <c r="E891" s="210"/>
      <c r="F891" s="14"/>
      <c r="G891" s="14"/>
    </row>
    <row r="892" spans="2:7">
      <c r="B892" s="12"/>
      <c r="D892" s="13"/>
      <c r="E892" s="210"/>
      <c r="F892" s="14"/>
      <c r="G892" s="14"/>
    </row>
    <row r="893" spans="2:7">
      <c r="B893" s="12"/>
      <c r="D893" s="13"/>
      <c r="E893" s="210"/>
      <c r="F893" s="14"/>
      <c r="G893" s="14"/>
    </row>
    <row r="894" spans="2:7">
      <c r="B894" s="12"/>
      <c r="D894" s="13"/>
      <c r="E894" s="210"/>
      <c r="F894" s="14"/>
      <c r="G894" s="14"/>
    </row>
    <row r="895" spans="2:7">
      <c r="B895" s="12"/>
      <c r="D895" s="13"/>
      <c r="E895" s="210"/>
      <c r="F895" s="14"/>
      <c r="G895" s="14"/>
    </row>
    <row r="896" spans="2:7">
      <c r="B896" s="12"/>
      <c r="D896" s="13"/>
      <c r="E896" s="210"/>
      <c r="F896" s="14"/>
      <c r="G896" s="14"/>
    </row>
    <row r="897" spans="2:7">
      <c r="B897" s="12"/>
      <c r="D897" s="13"/>
      <c r="E897" s="210"/>
      <c r="F897" s="14"/>
      <c r="G897" s="14"/>
    </row>
    <row r="898" spans="2:7">
      <c r="B898" s="12"/>
      <c r="D898" s="13"/>
      <c r="E898" s="210"/>
      <c r="F898" s="14"/>
      <c r="G898" s="14"/>
    </row>
    <row r="899" spans="2:7">
      <c r="B899" s="12"/>
      <c r="D899" s="13"/>
      <c r="E899" s="210"/>
      <c r="F899" s="14"/>
      <c r="G899" s="14"/>
    </row>
    <row r="900" spans="2:7">
      <c r="B900" s="12"/>
      <c r="D900" s="13"/>
      <c r="E900" s="210"/>
      <c r="F900" s="14"/>
      <c r="G900" s="14"/>
    </row>
    <row r="901" spans="2:7">
      <c r="B901" s="12"/>
      <c r="D901" s="13"/>
      <c r="E901" s="210"/>
      <c r="F901" s="14"/>
      <c r="G901" s="14"/>
    </row>
    <row r="902" spans="2:7">
      <c r="B902" s="12"/>
      <c r="D902" s="13"/>
      <c r="E902" s="210"/>
      <c r="F902" s="14"/>
      <c r="G902" s="14"/>
    </row>
    <row r="903" spans="2:7">
      <c r="B903" s="12"/>
      <c r="D903" s="13"/>
      <c r="E903" s="210"/>
      <c r="F903" s="14"/>
      <c r="G903" s="14"/>
    </row>
    <row r="904" spans="2:7">
      <c r="B904" s="12"/>
      <c r="D904" s="13"/>
      <c r="E904" s="210"/>
      <c r="F904" s="14"/>
      <c r="G904" s="14"/>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Reprt_1</vt:lpstr>
      <vt:lpstr>Reprt_2</vt:lpstr>
      <vt:lpstr>ASSUMPTION</vt:lpstr>
      <vt:lpstr>Path_ID</vt:lpstr>
      <vt:lpstr>INDEXFILES</vt:lpstr>
      <vt:lpstr>T_PCH</vt:lpstr>
      <vt:lpstr>T_NAV</vt:lpstr>
      <vt:lpstr>CALCS</vt:lpstr>
      <vt:lpstr>C_DownM</vt:lpstr>
      <vt:lpstr>C_UpM</vt:lpstr>
      <vt:lpstr>C_Returns</vt:lpstr>
      <vt:lpstr>CALCS_Sample</vt:lpstr>
      <vt:lpstr>SH_PORTFOLIOIndex</vt:lpstr>
      <vt:lpstr>SH_QUALITATIVE</vt:lpstr>
      <vt:lpstr>SH_FundCompositions</vt:lpstr>
      <vt:lpstr>SH_StrategyAllocs</vt:lpstr>
      <vt:lpstr>Nav</vt:lpstr>
      <vt:lpstr>FileNames</vt:lpstr>
      <vt:lpstr>Reprt_1!Print_Area</vt:lpstr>
      <vt:lpstr>strPathIdFilesList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Grace Valentina Montesano</dc:creator>
  <cp:lastModifiedBy>Grace Montesano</cp:lastModifiedBy>
  <cp:lastPrinted>2011-05-19T15:46:51Z</cp:lastPrinted>
  <dcterms:created xsi:type="dcterms:W3CDTF">2010-12-13T21:01:28Z</dcterms:created>
  <dcterms:modified xsi:type="dcterms:W3CDTF">2019-03-19T18:39:07Z</dcterms:modified>
</cp:coreProperties>
</file>