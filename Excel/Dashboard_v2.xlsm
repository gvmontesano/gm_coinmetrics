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psf\Home\Desktop\ARC\BitBucket\arctrading\excelDashboard\"/>
    </mc:Choice>
  </mc:AlternateContent>
  <xr:revisionPtr revIDLastSave="0" documentId="8_{79030887-1149-4ABC-89C2-901875EBCDD5}" xr6:coauthVersionLast="40" xr6:coauthVersionMax="40" xr10:uidLastSave="{00000000-0000-0000-0000-000000000000}"/>
  <bookViews>
    <workbookView xWindow="-98" yWindow="-98" windowWidth="25396" windowHeight="14536" xr2:uid="{00000000-000D-0000-FFFF-FFFF00000000}"/>
  </bookViews>
  <sheets>
    <sheet name="ControlPanel" sheetId="1" r:id="rId1"/>
    <sheet name="Da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1" l="1"/>
  <c r="V4" i="1"/>
  <c r="V12" i="1"/>
  <c r="V20" i="1"/>
  <c r="V28" i="1"/>
  <c r="V36" i="1"/>
  <c r="V44" i="1"/>
  <c r="V52" i="1"/>
  <c r="V61" i="1"/>
  <c r="V69" i="1"/>
  <c r="V77" i="1"/>
  <c r="V85" i="1"/>
  <c r="V15" i="1"/>
  <c r="V23" i="1"/>
  <c r="V39" i="1"/>
  <c r="V56" i="1"/>
  <c r="V72" i="1"/>
  <c r="V24" i="1"/>
  <c r="V32" i="1"/>
  <c r="V57" i="1"/>
  <c r="V73" i="1"/>
  <c r="V17" i="1"/>
  <c r="V49" i="1"/>
  <c r="V74" i="1"/>
  <c r="V18" i="1"/>
  <c r="V34" i="1"/>
  <c r="V59" i="1"/>
  <c r="V83" i="1"/>
  <c r="V27" i="1"/>
  <c r="V51" i="1"/>
  <c r="V76" i="1"/>
  <c r="V5" i="1"/>
  <c r="V13" i="1"/>
  <c r="V21" i="1"/>
  <c r="V29" i="1"/>
  <c r="V37" i="1"/>
  <c r="V45" i="1"/>
  <c r="V53" i="1"/>
  <c r="V62" i="1"/>
  <c r="V70" i="1"/>
  <c r="V78" i="1"/>
  <c r="V86" i="1"/>
  <c r="V7" i="1"/>
  <c r="V31" i="1"/>
  <c r="V47" i="1"/>
  <c r="V64" i="1"/>
  <c r="V80" i="1"/>
  <c r="V8" i="1"/>
  <c r="V40" i="1"/>
  <c r="V65" i="1"/>
  <c r="V9" i="1"/>
  <c r="V33" i="1"/>
  <c r="V58" i="1"/>
  <c r="V82" i="1"/>
  <c r="V26" i="1"/>
  <c r="V50" i="1"/>
  <c r="V67" i="1"/>
  <c r="V11" i="1"/>
  <c r="V35" i="1"/>
  <c r="V60" i="1"/>
  <c r="V84" i="1"/>
  <c r="V6" i="1"/>
  <c r="V14" i="1"/>
  <c r="V22" i="1"/>
  <c r="V30" i="1"/>
  <c r="V38" i="1"/>
  <c r="V46" i="1"/>
  <c r="V55" i="1"/>
  <c r="V63" i="1"/>
  <c r="V71" i="1"/>
  <c r="V79" i="1"/>
  <c r="V16" i="1"/>
  <c r="V48" i="1"/>
  <c r="V81" i="1"/>
  <c r="V25" i="1"/>
  <c r="V41" i="1"/>
  <c r="V66" i="1"/>
  <c r="V10" i="1"/>
  <c r="V42" i="1"/>
  <c r="V75" i="1"/>
  <c r="V19" i="1"/>
  <c r="V43" i="1"/>
  <c r="V68" i="1"/>
  <c r="U4" i="1"/>
  <c r="U12" i="1"/>
  <c r="U20" i="1"/>
  <c r="U28" i="1"/>
  <c r="U36" i="1"/>
  <c r="U44" i="1"/>
  <c r="U52" i="1"/>
  <c r="U61" i="1"/>
  <c r="U69" i="1"/>
  <c r="U77" i="1"/>
  <c r="U85" i="1"/>
  <c r="U15" i="1"/>
  <c r="U31" i="1"/>
  <c r="U39" i="1"/>
  <c r="U56" i="1"/>
  <c r="U72" i="1"/>
  <c r="U24" i="1"/>
  <c r="U40" i="1"/>
  <c r="U65" i="1"/>
  <c r="U9" i="1"/>
  <c r="U33" i="1"/>
  <c r="U66" i="1"/>
  <c r="U18" i="1"/>
  <c r="U34" i="1"/>
  <c r="U59" i="1"/>
  <c r="U83" i="1"/>
  <c r="U27" i="1"/>
  <c r="U51" i="1"/>
  <c r="U76" i="1"/>
  <c r="U5" i="1"/>
  <c r="U13" i="1"/>
  <c r="U21" i="1"/>
  <c r="U29" i="1"/>
  <c r="U37" i="1"/>
  <c r="U45" i="1"/>
  <c r="U53" i="1"/>
  <c r="U62" i="1"/>
  <c r="U70" i="1"/>
  <c r="U78" i="1"/>
  <c r="U86" i="1"/>
  <c r="U7" i="1"/>
  <c r="U23" i="1"/>
  <c r="U47" i="1"/>
  <c r="U64" i="1"/>
  <c r="U80" i="1"/>
  <c r="U8" i="1"/>
  <c r="U32" i="1"/>
  <c r="U57" i="1"/>
  <c r="U81" i="1"/>
  <c r="U25" i="1"/>
  <c r="U41" i="1"/>
  <c r="U58" i="1"/>
  <c r="U82" i="1"/>
  <c r="U26" i="1"/>
  <c r="U50" i="1"/>
  <c r="U19" i="1"/>
  <c r="U43" i="1"/>
  <c r="U68" i="1"/>
  <c r="U6" i="1"/>
  <c r="U14" i="1"/>
  <c r="U22" i="1"/>
  <c r="U30" i="1"/>
  <c r="U38" i="1"/>
  <c r="U46" i="1"/>
  <c r="U55" i="1"/>
  <c r="U63" i="1"/>
  <c r="U71" i="1"/>
  <c r="U79" i="1"/>
  <c r="U16" i="1"/>
  <c r="U48" i="1"/>
  <c r="U73" i="1"/>
  <c r="U17" i="1"/>
  <c r="U49" i="1"/>
  <c r="U74" i="1"/>
  <c r="U10" i="1"/>
  <c r="U42" i="1"/>
  <c r="U67" i="1"/>
  <c r="U75" i="1"/>
  <c r="U11" i="1"/>
  <c r="U35" i="1"/>
  <c r="U60" i="1"/>
  <c r="U84" i="1"/>
  <c r="T4" i="1"/>
  <c r="T12" i="1"/>
  <c r="T20" i="1"/>
  <c r="T28" i="1"/>
  <c r="T37" i="1"/>
  <c r="T46" i="1"/>
  <c r="T55" i="1"/>
  <c r="T64" i="1"/>
  <c r="T73" i="1"/>
  <c r="T82" i="1"/>
  <c r="T74" i="1"/>
  <c r="T6" i="1"/>
  <c r="T22" i="1"/>
  <c r="T30" i="1"/>
  <c r="T48" i="1"/>
  <c r="T57" i="1"/>
  <c r="T75" i="1"/>
  <c r="T84" i="1"/>
  <c r="T7" i="1"/>
  <c r="T23" i="1"/>
  <c r="T40" i="1"/>
  <c r="T49" i="1"/>
  <c r="T67" i="1"/>
  <c r="T85" i="1"/>
  <c r="T8" i="1"/>
  <c r="T24" i="1"/>
  <c r="T41" i="1"/>
  <c r="T50" i="1"/>
  <c r="T68" i="1"/>
  <c r="T86" i="1"/>
  <c r="T72" i="1"/>
  <c r="T5" i="1"/>
  <c r="T13" i="1"/>
  <c r="T21" i="1"/>
  <c r="T29" i="1"/>
  <c r="T38" i="1"/>
  <c r="T47" i="1"/>
  <c r="T56" i="1"/>
  <c r="T65" i="1"/>
  <c r="T83" i="1"/>
  <c r="T14" i="1"/>
  <c r="T39" i="1"/>
  <c r="T66" i="1"/>
  <c r="T15" i="1"/>
  <c r="T31" i="1"/>
  <c r="T59" i="1"/>
  <c r="T76" i="1"/>
  <c r="T16" i="1"/>
  <c r="T32" i="1"/>
  <c r="T60" i="1"/>
  <c r="T77" i="1"/>
  <c r="T9" i="1"/>
  <c r="T17" i="1"/>
  <c r="T25" i="1"/>
  <c r="T33" i="1"/>
  <c r="T42" i="1"/>
  <c r="T51" i="1"/>
  <c r="T61" i="1"/>
  <c r="T69" i="1"/>
  <c r="T79" i="1"/>
  <c r="T10" i="1"/>
  <c r="T18" i="1"/>
  <c r="T26" i="1"/>
  <c r="T34" i="1"/>
  <c r="T43" i="1"/>
  <c r="T52" i="1"/>
  <c r="T62" i="1"/>
  <c r="T71" i="1"/>
  <c r="T80" i="1"/>
  <c r="T11" i="1"/>
  <c r="T19" i="1"/>
  <c r="T27" i="1"/>
  <c r="T35" i="1"/>
  <c r="T44" i="1"/>
  <c r="T53" i="1"/>
  <c r="T63" i="1"/>
  <c r="T81" i="1"/>
  <c r="S4" i="1"/>
  <c r="S12" i="1"/>
  <c r="S20" i="1"/>
  <c r="S28" i="1"/>
  <c r="S37" i="1"/>
  <c r="S46" i="1"/>
  <c r="S55" i="1"/>
  <c r="S64" i="1"/>
  <c r="S73" i="1"/>
  <c r="S82" i="1"/>
  <c r="S32" i="1"/>
  <c r="S50" i="1"/>
  <c r="S26" i="1"/>
  <c r="S52" i="1"/>
  <c r="S11" i="1"/>
  <c r="S53" i="1"/>
  <c r="S5" i="1"/>
  <c r="S13" i="1"/>
  <c r="S21" i="1"/>
  <c r="S29" i="1"/>
  <c r="S38" i="1"/>
  <c r="S47" i="1"/>
  <c r="S56" i="1"/>
  <c r="S65" i="1"/>
  <c r="S74" i="1"/>
  <c r="S83" i="1"/>
  <c r="S16" i="1"/>
  <c r="S60" i="1"/>
  <c r="S86" i="1"/>
  <c r="S34" i="1"/>
  <c r="S80" i="1"/>
  <c r="S35" i="1"/>
  <c r="S72" i="1"/>
  <c r="S6" i="1"/>
  <c r="S14" i="1"/>
  <c r="S22" i="1"/>
  <c r="S30" i="1"/>
  <c r="S39" i="1"/>
  <c r="S48" i="1"/>
  <c r="S57" i="1"/>
  <c r="S66" i="1"/>
  <c r="S75" i="1"/>
  <c r="S84" i="1"/>
  <c r="S8" i="1"/>
  <c r="S41" i="1"/>
  <c r="S77" i="1"/>
  <c r="S10" i="1"/>
  <c r="S43" i="1"/>
  <c r="S71" i="1"/>
  <c r="S27" i="1"/>
  <c r="S81" i="1"/>
  <c r="S7" i="1"/>
  <c r="S15" i="1"/>
  <c r="S23" i="1"/>
  <c r="S31" i="1"/>
  <c r="S40" i="1"/>
  <c r="S49" i="1"/>
  <c r="S59" i="1"/>
  <c r="S67" i="1"/>
  <c r="S76" i="1"/>
  <c r="S85" i="1"/>
  <c r="S24" i="1"/>
  <c r="S68" i="1"/>
  <c r="S18" i="1"/>
  <c r="S62" i="1"/>
  <c r="S19" i="1"/>
  <c r="S44" i="1"/>
  <c r="S9" i="1"/>
  <c r="S17" i="1"/>
  <c r="S25" i="1"/>
  <c r="S33" i="1"/>
  <c r="S42" i="1"/>
  <c r="S51" i="1"/>
  <c r="S61" i="1"/>
  <c r="S69" i="1"/>
  <c r="S79" i="1"/>
  <c r="S63" i="1"/>
  <c r="R4" i="1"/>
  <c r="R12" i="1"/>
  <c r="R20" i="1"/>
  <c r="R28" i="1"/>
  <c r="R37" i="1"/>
  <c r="R46" i="1"/>
  <c r="R55" i="1"/>
  <c r="R64" i="1"/>
  <c r="R73" i="1"/>
  <c r="R82" i="1"/>
  <c r="R14" i="1"/>
  <c r="R30" i="1"/>
  <c r="R48" i="1"/>
  <c r="R57" i="1"/>
  <c r="R75" i="1"/>
  <c r="R15" i="1"/>
  <c r="R31" i="1"/>
  <c r="R49" i="1"/>
  <c r="R59" i="1"/>
  <c r="R76" i="1"/>
  <c r="R8" i="1"/>
  <c r="R32" i="1"/>
  <c r="R60" i="1"/>
  <c r="R77" i="1"/>
  <c r="R27" i="1"/>
  <c r="R63" i="1"/>
  <c r="R5" i="1"/>
  <c r="R13" i="1"/>
  <c r="R21" i="1"/>
  <c r="R29" i="1"/>
  <c r="R38" i="1"/>
  <c r="R47" i="1"/>
  <c r="R56" i="1"/>
  <c r="R65" i="1"/>
  <c r="R74" i="1"/>
  <c r="R83" i="1"/>
  <c r="R6" i="1"/>
  <c r="R22" i="1"/>
  <c r="R39" i="1"/>
  <c r="R66" i="1"/>
  <c r="R7" i="1"/>
  <c r="R23" i="1"/>
  <c r="R40" i="1"/>
  <c r="R67" i="1"/>
  <c r="R85" i="1"/>
  <c r="R16" i="1"/>
  <c r="R41" i="1"/>
  <c r="R50" i="1"/>
  <c r="R68" i="1"/>
  <c r="R11" i="1"/>
  <c r="R44" i="1"/>
  <c r="R84" i="1"/>
  <c r="R24" i="1"/>
  <c r="R86" i="1"/>
  <c r="R35" i="1"/>
  <c r="R72" i="1"/>
  <c r="R9" i="1"/>
  <c r="R17" i="1"/>
  <c r="R25" i="1"/>
  <c r="R33" i="1"/>
  <c r="R42" i="1"/>
  <c r="R51" i="1"/>
  <c r="R61" i="1"/>
  <c r="R69" i="1"/>
  <c r="R79" i="1"/>
  <c r="R10" i="1"/>
  <c r="R18" i="1"/>
  <c r="R26" i="1"/>
  <c r="R34" i="1"/>
  <c r="R43" i="1"/>
  <c r="R52" i="1"/>
  <c r="R62" i="1"/>
  <c r="R71" i="1"/>
  <c r="R80" i="1"/>
  <c r="R19" i="1"/>
  <c r="R53" i="1"/>
  <c r="R81" i="1"/>
  <c r="Q4" i="1"/>
  <c r="Q12" i="1"/>
  <c r="Q20" i="1"/>
  <c r="Q28" i="1"/>
  <c r="Q37" i="1"/>
  <c r="Q46" i="1"/>
  <c r="Q55" i="1"/>
  <c r="Q64" i="1"/>
  <c r="Q73" i="1"/>
  <c r="Q82" i="1"/>
  <c r="Q32" i="1"/>
  <c r="Q41" i="1"/>
  <c r="Q77" i="1"/>
  <c r="Q17" i="1"/>
  <c r="Q69" i="1"/>
  <c r="Q18" i="1"/>
  <c r="Q34" i="1"/>
  <c r="Q62" i="1"/>
  <c r="Q11" i="1"/>
  <c r="Q35" i="1"/>
  <c r="Q53" i="1"/>
  <c r="Q81" i="1"/>
  <c r="Q5" i="1"/>
  <c r="Q13" i="1"/>
  <c r="Q21" i="1"/>
  <c r="Q29" i="1"/>
  <c r="Q38" i="1"/>
  <c r="Q47" i="1"/>
  <c r="Q56" i="1"/>
  <c r="Q65" i="1"/>
  <c r="Q74" i="1"/>
  <c r="Q83" i="1"/>
  <c r="Q24" i="1"/>
  <c r="Q60" i="1"/>
  <c r="Q25" i="1"/>
  <c r="Q51" i="1"/>
  <c r="Q10" i="1"/>
  <c r="Q43" i="1"/>
  <c r="Q80" i="1"/>
  <c r="Q27" i="1"/>
  <c r="Q63" i="1"/>
  <c r="Q6" i="1"/>
  <c r="Q14" i="1"/>
  <c r="Q22" i="1"/>
  <c r="Q30" i="1"/>
  <c r="Q39" i="1"/>
  <c r="Q48" i="1"/>
  <c r="Q57" i="1"/>
  <c r="Q66" i="1"/>
  <c r="Q75" i="1"/>
  <c r="Q84" i="1"/>
  <c r="Q16" i="1"/>
  <c r="Q68" i="1"/>
  <c r="Q9" i="1"/>
  <c r="Q42" i="1"/>
  <c r="Q79" i="1"/>
  <c r="Q26" i="1"/>
  <c r="Q52" i="1"/>
  <c r="Q71" i="1"/>
  <c r="Q19" i="1"/>
  <c r="Q44" i="1"/>
  <c r="Q72" i="1"/>
  <c r="Q7" i="1"/>
  <c r="Q15" i="1"/>
  <c r="Q23" i="1"/>
  <c r="Q31" i="1"/>
  <c r="Q40" i="1"/>
  <c r="Q49" i="1"/>
  <c r="Q59" i="1"/>
  <c r="Q67" i="1"/>
  <c r="Q76" i="1"/>
  <c r="Q85" i="1"/>
  <c r="Q8" i="1"/>
  <c r="Q50" i="1"/>
  <c r="Q86" i="1"/>
  <c r="Q33" i="1"/>
  <c r="Q61" i="1"/>
  <c r="P4" i="1"/>
  <c r="P12" i="1"/>
  <c r="P20" i="1"/>
  <c r="P28" i="1"/>
  <c r="P36" i="1"/>
  <c r="P44" i="1"/>
  <c r="P52" i="1"/>
  <c r="P61" i="1"/>
  <c r="P69" i="1"/>
  <c r="P77" i="1"/>
  <c r="P85" i="1"/>
  <c r="P70" i="1"/>
  <c r="P86" i="1"/>
  <c r="P14" i="1"/>
  <c r="P22" i="1"/>
  <c r="P38" i="1"/>
  <c r="P63" i="1"/>
  <c r="P79" i="1"/>
  <c r="P7" i="1"/>
  <c r="P15" i="1"/>
  <c r="P23" i="1"/>
  <c r="P31" i="1"/>
  <c r="P39" i="1"/>
  <c r="P47" i="1"/>
  <c r="P56" i="1"/>
  <c r="P64" i="1"/>
  <c r="P72" i="1"/>
  <c r="P16" i="1"/>
  <c r="P57" i="1"/>
  <c r="P81" i="1"/>
  <c r="P5" i="1"/>
  <c r="P13" i="1"/>
  <c r="P21" i="1"/>
  <c r="P29" i="1"/>
  <c r="P37" i="1"/>
  <c r="P45" i="1"/>
  <c r="P53" i="1"/>
  <c r="P62" i="1"/>
  <c r="P78" i="1"/>
  <c r="P6" i="1"/>
  <c r="P30" i="1"/>
  <c r="P46" i="1"/>
  <c r="P55" i="1"/>
  <c r="P71" i="1"/>
  <c r="P80" i="1"/>
  <c r="P24" i="1"/>
  <c r="P48" i="1"/>
  <c r="P73" i="1"/>
  <c r="P9" i="1"/>
  <c r="P17" i="1"/>
  <c r="P25" i="1"/>
  <c r="P33" i="1"/>
  <c r="P41" i="1"/>
  <c r="P49" i="1"/>
  <c r="P58" i="1"/>
  <c r="P66" i="1"/>
  <c r="P74" i="1"/>
  <c r="P82" i="1"/>
  <c r="P10" i="1"/>
  <c r="P18" i="1"/>
  <c r="P26" i="1"/>
  <c r="P34" i="1"/>
  <c r="P42" i="1"/>
  <c r="P50" i="1"/>
  <c r="P59" i="1"/>
  <c r="P67" i="1"/>
  <c r="P75" i="1"/>
  <c r="P83" i="1"/>
  <c r="P11" i="1"/>
  <c r="P19" i="1"/>
  <c r="P27" i="1"/>
  <c r="P35" i="1"/>
  <c r="P43" i="1"/>
  <c r="P51" i="1"/>
  <c r="P60" i="1"/>
  <c r="P68" i="1"/>
  <c r="P76" i="1"/>
  <c r="P84" i="1"/>
  <c r="P8" i="1"/>
  <c r="P32" i="1"/>
  <c r="P40" i="1"/>
  <c r="P65" i="1"/>
  <c r="O4" i="1"/>
  <c r="O12" i="1"/>
  <c r="O20" i="1"/>
  <c r="O28" i="1"/>
  <c r="O36" i="1"/>
  <c r="O44" i="1"/>
  <c r="O52" i="1"/>
  <c r="O61" i="1"/>
  <c r="O69" i="1"/>
  <c r="O77" i="1"/>
  <c r="O85" i="1"/>
  <c r="O14" i="1"/>
  <c r="O22" i="1"/>
  <c r="O38" i="1"/>
  <c r="O55" i="1"/>
  <c r="O71" i="1"/>
  <c r="O34" i="1"/>
  <c r="O83" i="1"/>
  <c r="O27" i="1"/>
  <c r="O51" i="1"/>
  <c r="O68" i="1"/>
  <c r="O5" i="1"/>
  <c r="O13" i="1"/>
  <c r="O21" i="1"/>
  <c r="O29" i="1"/>
  <c r="O37" i="1"/>
  <c r="O45" i="1"/>
  <c r="O53" i="1"/>
  <c r="O62" i="1"/>
  <c r="O70" i="1"/>
  <c r="O78" i="1"/>
  <c r="O86" i="1"/>
  <c r="O6" i="1"/>
  <c r="O30" i="1"/>
  <c r="O46" i="1"/>
  <c r="O63" i="1"/>
  <c r="O79" i="1"/>
  <c r="O73" i="1"/>
  <c r="O9" i="1"/>
  <c r="O33" i="1"/>
  <c r="O49" i="1"/>
  <c r="O58" i="1"/>
  <c r="O74" i="1"/>
  <c r="O10" i="1"/>
  <c r="O26" i="1"/>
  <c r="O50" i="1"/>
  <c r="O67" i="1"/>
  <c r="O11" i="1"/>
  <c r="O43" i="1"/>
  <c r="O84" i="1"/>
  <c r="O7" i="1"/>
  <c r="O15" i="1"/>
  <c r="O23" i="1"/>
  <c r="O31" i="1"/>
  <c r="O39" i="1"/>
  <c r="O47" i="1"/>
  <c r="O56" i="1"/>
  <c r="O64" i="1"/>
  <c r="O72" i="1"/>
  <c r="O80" i="1"/>
  <c r="O8" i="1"/>
  <c r="O16" i="1"/>
  <c r="O24" i="1"/>
  <c r="O32" i="1"/>
  <c r="O40" i="1"/>
  <c r="O48" i="1"/>
  <c r="O57" i="1"/>
  <c r="O65" i="1"/>
  <c r="O81" i="1"/>
  <c r="O17" i="1"/>
  <c r="O25" i="1"/>
  <c r="O41" i="1"/>
  <c r="O66" i="1"/>
  <c r="O82" i="1"/>
  <c r="O18" i="1"/>
  <c r="O42" i="1"/>
  <c r="O59" i="1"/>
  <c r="O75" i="1"/>
  <c r="O19" i="1"/>
  <c r="O35" i="1"/>
  <c r="O60" i="1"/>
  <c r="O76" i="1"/>
  <c r="U2" i="1" l="1"/>
</calcChain>
</file>

<file path=xl/sharedStrings.xml><?xml version="1.0" encoding="utf-8"?>
<sst xmlns="http://schemas.openxmlformats.org/spreadsheetml/2006/main" count="1540" uniqueCount="285">
  <si>
    <t>bloomberg_symbol</t>
  </si>
  <si>
    <t>book</t>
  </si>
  <si>
    <t>book_shortname</t>
  </si>
  <si>
    <t>instrument_type</t>
  </si>
  <si>
    <t>notional_quantity</t>
  </si>
  <si>
    <t>position</t>
  </si>
  <si>
    <t>position_shortname</t>
  </si>
  <si>
    <t>price</t>
  </si>
  <si>
    <t>strategy</t>
  </si>
  <si>
    <t>symbol</t>
  </si>
  <si>
    <t>ACN US 01/20/17 P92.5 Equity</t>
  </si>
  <si>
    <t>Volatility</t>
  </si>
  <si>
    <t>VOL</t>
  </si>
  <si>
    <t>EquityOption</t>
  </si>
  <si>
    <t>Information Technology</t>
  </si>
  <si>
    <t>INFTEC</t>
  </si>
  <si>
    <t>Equity Vol</t>
  </si>
  <si>
    <t>ACN   170120P00092500</t>
  </si>
  <si>
    <t>ADBE US 01/20/17 P75 Equity</t>
  </si>
  <si>
    <t>ADBE  170120P00075000</t>
  </si>
  <si>
    <t>AFL US 01/20/17 P55 Equity</t>
  </si>
  <si>
    <t>Financials</t>
  </si>
  <si>
    <t>FINANC</t>
  </si>
  <si>
    <t>AFL   170120P00055000</t>
  </si>
  <si>
    <t>AIG US 01/20/17 P52.5 Equity</t>
  </si>
  <si>
    <t>AIG   170120P00052500</t>
  </si>
  <si>
    <t>ALXN US 01/20/17 P135 Equity</t>
  </si>
  <si>
    <t>Health Care</t>
  </si>
  <si>
    <t>HEALTH</t>
  </si>
  <si>
    <t>ALXN  170120P00135000</t>
  </si>
  <si>
    <t>AMT US 01/20/17 P85 Equity</t>
  </si>
  <si>
    <t>AMT   170120P00085000</t>
  </si>
  <si>
    <t>AMZN US 01/20/17 P490 Equity</t>
  </si>
  <si>
    <t>Consumer Discretionary</t>
  </si>
  <si>
    <t>CONDIS</t>
  </si>
  <si>
    <t>AMZN  170120P00490000</t>
  </si>
  <si>
    <t>APD US 01/20/17 P125 Equity</t>
  </si>
  <si>
    <t>Materials</t>
  </si>
  <si>
    <t>MATERI</t>
  </si>
  <si>
    <t>APD   170120P00125000</t>
  </si>
  <si>
    <t>ATVI US 01/20/17 P30 Equity</t>
  </si>
  <si>
    <t>ATVI  170120P00030000</t>
  </si>
  <si>
    <t>BA US 01/20/17 P120 Equity</t>
  </si>
  <si>
    <t>Industrials</t>
  </si>
  <si>
    <t>INDUST</t>
  </si>
  <si>
    <t>BA    170120P00120000</t>
  </si>
  <si>
    <t>BAC US 01/20/17 P15 Equity</t>
  </si>
  <si>
    <t>BAC   170120P00015000</t>
  </si>
  <si>
    <t>BMY US 01/20/17 P55 Equity</t>
  </si>
  <si>
    <t>BMY   170120P00055000</t>
  </si>
  <si>
    <t>BRCM US Equity</t>
  </si>
  <si>
    <t>Event</t>
  </si>
  <si>
    <t>EVE</t>
  </si>
  <si>
    <t>Equity</t>
  </si>
  <si>
    <t>Broadcom</t>
  </si>
  <si>
    <t>BRCM</t>
  </si>
  <si>
    <t>Earnings</t>
  </si>
  <si>
    <t>BRCM US 01/15/16 C55 Equity</t>
  </si>
  <si>
    <t>BRCM  160115C00055000</t>
  </si>
  <si>
    <t>BRCM US 01/20/17 P47 Equity</t>
  </si>
  <si>
    <t>BRCM  170120P00047000</t>
  </si>
  <si>
    <t>BSX US 01/20/17 P15 Equity</t>
  </si>
  <si>
    <t>BSX   170120P00015000</t>
  </si>
  <si>
    <t>CBS US 01/20/17 P37.5 Equity</t>
  </si>
  <si>
    <t>CBS   170120P00037500</t>
  </si>
  <si>
    <t>CCE US 01/20/17 P45 Equity</t>
  </si>
  <si>
    <t>Consumer Staples</t>
  </si>
  <si>
    <t>CONSTA</t>
  </si>
  <si>
    <t>CCE   170120P00045000</t>
  </si>
  <si>
    <t>CCI US 01/20/17 P72.5 Equity</t>
  </si>
  <si>
    <t>CCI   170120P00072500</t>
  </si>
  <si>
    <t>CME US 01/20/17 P80 Equity</t>
  </si>
  <si>
    <t>CME   170120P00080000</t>
  </si>
  <si>
    <t>COF US 01/20/17 P67.5 Equity</t>
  </si>
  <si>
    <t>COF   170120P00067500</t>
  </si>
  <si>
    <t>CRM US 01/19/18 P70 Equity</t>
  </si>
  <si>
    <t>CRM   180119P00070000</t>
  </si>
  <si>
    <t>CTSH US 01/20/17 P57.5 Equity</t>
  </si>
  <si>
    <t>CTSH  170120P00057500</t>
  </si>
  <si>
    <t>DAL US 01/20/17 P45 Equity</t>
  </si>
  <si>
    <t>DAL   170120P00045000</t>
  </si>
  <si>
    <t>DIS US 01/19/18 P95 Equity</t>
  </si>
  <si>
    <t>DIS   180119P00095000</t>
  </si>
  <si>
    <t>DOW US 01/20/17 P43 Equity</t>
  </si>
  <si>
    <t>DOW   170120P00043000</t>
  </si>
  <si>
    <t>DRI1 US 01/20/17 P57.5 Equity</t>
  </si>
  <si>
    <t>DRI1  170120P00057500</t>
  </si>
  <si>
    <t>EA US 01/20/17 P60 Equity</t>
  </si>
  <si>
    <t>EA    170120P00060000</t>
  </si>
  <si>
    <t>EL US 01/20/17 P75 Equity</t>
  </si>
  <si>
    <t>EL    170120P00075000</t>
  </si>
  <si>
    <t>EQR US 01/20/17 P70 Equity</t>
  </si>
  <si>
    <t>EQR   170120P00070000</t>
  </si>
  <si>
    <t>EXPE US 01/20/17 P110 Equity</t>
  </si>
  <si>
    <t>EXPE  170120P00110000</t>
  </si>
  <si>
    <t>FB US 01/20/17 P85 Equity</t>
  </si>
  <si>
    <t>FB    170120P00085000</t>
  </si>
  <si>
    <t>FSLR US 01/20/17 P45 Equity</t>
  </si>
  <si>
    <t>FSLR  170120P00045000</t>
  </si>
  <si>
    <t>GDX vs IYR</t>
  </si>
  <si>
    <t>GDX/IYR</t>
  </si>
  <si>
    <t>Relative Value</t>
  </si>
  <si>
    <t>GDX US 03/18/16 P13 Equity</t>
  </si>
  <si>
    <t>GDX   160318P00013000</t>
  </si>
  <si>
    <t>GE US 01/20/17 P25 Equity</t>
  </si>
  <si>
    <t>GE    170120P00025000</t>
  </si>
  <si>
    <t>GGP US Equity</t>
  </si>
  <si>
    <t>GGP</t>
  </si>
  <si>
    <t>GGP US 01/20/17 P25 Equity</t>
  </si>
  <si>
    <t>GGP   170120P00025000</t>
  </si>
  <si>
    <t>GOOGL US 01/20/17 P620 Equity</t>
  </si>
  <si>
    <t>GOOGL 170120P00620000</t>
  </si>
  <si>
    <t>HBAN US 01/20/17 P10 Equity</t>
  </si>
  <si>
    <t>HBAN  170120P00010000</t>
  </si>
  <si>
    <t>HD US 01/20/17 P110 Equity</t>
  </si>
  <si>
    <t>HD    170120P00110000</t>
  </si>
  <si>
    <t>HIG US 01/20/17 P42 Equity</t>
  </si>
  <si>
    <t>HIG   170120P00042000</t>
  </si>
  <si>
    <t>INTU US 01/20/17 P80 Equity</t>
  </si>
  <si>
    <t>INTU  170120P00080000</t>
  </si>
  <si>
    <t>ISRG US 01/20/17 P410 Equity</t>
  </si>
  <si>
    <t>ISRG  170120P00410000</t>
  </si>
  <si>
    <t>IYR US 03/18/16 C76 Equity</t>
  </si>
  <si>
    <t>IYR   160318C00076000</t>
  </si>
  <si>
    <t>KO US 01/20/17 P38 Equity</t>
  </si>
  <si>
    <t>KO    170120P00038000</t>
  </si>
  <si>
    <t>LB US 01/20/17 P85.5 Equity</t>
  </si>
  <si>
    <t>LB    170120P00085500</t>
  </si>
  <si>
    <t>LOW US 01/20/17 P65 Equity</t>
  </si>
  <si>
    <t>LOW   170120P00065000</t>
  </si>
  <si>
    <t>MA US 01/20/17 P85 Equity</t>
  </si>
  <si>
    <t>MA    170120P00085000</t>
  </si>
  <si>
    <t>MAS US 01/20/17 P30 Equity</t>
  </si>
  <si>
    <t>MAS   170120P00030000</t>
  </si>
  <si>
    <t>MNST US 01/20/17 P135 Equity</t>
  </si>
  <si>
    <t>MNST  170120P00135000</t>
  </si>
  <si>
    <t>MO US 01/20/17 P52.5 Equity</t>
  </si>
  <si>
    <t>MO    170120P00052500</t>
  </si>
  <si>
    <t>MS US 01/20/17 P30 Equity</t>
  </si>
  <si>
    <t>MS    170120P00030000</t>
  </si>
  <si>
    <t>NI US 01/20/17 P17 Equity</t>
  </si>
  <si>
    <t>Utilities</t>
  </si>
  <si>
    <t>UTILIT</t>
  </si>
  <si>
    <t>NI    170120P00017000</t>
  </si>
  <si>
    <t>NVDA US 01/20/17 P25 Equity</t>
  </si>
  <si>
    <t>NVDA  170120P00025000</t>
  </si>
  <si>
    <t>PAYX US 01/20/17 P45 Equity</t>
  </si>
  <si>
    <t>PAYX  170120P00045000</t>
  </si>
  <si>
    <t>PCL US 01/20/17 P37 Equity</t>
  </si>
  <si>
    <t>PCL   170120P00037000</t>
  </si>
  <si>
    <t>PCLN US Equity</t>
  </si>
  <si>
    <t>PCLN</t>
  </si>
  <si>
    <t>PCLN US 01/20/17 P1180 Equity</t>
  </si>
  <si>
    <t>PCLN  170120P01180000</t>
  </si>
  <si>
    <t>PXD US 01/20/17 P120 Equity</t>
  </si>
  <si>
    <t>Energy</t>
  </si>
  <si>
    <t>ENERGY</t>
  </si>
  <si>
    <t>PXD   170120P00120000</t>
  </si>
  <si>
    <t>RCL US 01/20/17 P82.5 Equity</t>
  </si>
  <si>
    <t>RCL   170120P00082500</t>
  </si>
  <si>
    <t>REGN US 01/19/18 P470 Equity</t>
  </si>
  <si>
    <t>REGN  180119P00470000</t>
  </si>
  <si>
    <t>RHT US 01/20/17 P67.5 Equity</t>
  </si>
  <si>
    <t>RHT   170120P00067500</t>
  </si>
  <si>
    <t>USO vs RSX</t>
  </si>
  <si>
    <t>USO/RSX</t>
  </si>
  <si>
    <t>RSX US 01/15/16 C17 Equity</t>
  </si>
  <si>
    <t>RSX   160115C00017000</t>
  </si>
  <si>
    <t>SBUX US 01/20/17 P52.5 Equity</t>
  </si>
  <si>
    <t>SBUX  170120P00052500</t>
  </si>
  <si>
    <t>SPG US 01/20/17 P175 Equity</t>
  </si>
  <si>
    <t>SPG   170120P00175000</t>
  </si>
  <si>
    <t>SPX Collar</t>
  </si>
  <si>
    <t>OVERLAY</t>
  </si>
  <si>
    <t>Overlay</t>
  </si>
  <si>
    <t>SPX US 01/20/17 P1800 Index</t>
  </si>
  <si>
    <t>SPX Long Dated</t>
  </si>
  <si>
    <t>DMRISK</t>
  </si>
  <si>
    <t>SPX   170120P01800000</t>
  </si>
  <si>
    <t>STX US 01/20/17 P45 Equity</t>
  </si>
  <si>
    <t>STX   170120P00045000</t>
  </si>
  <si>
    <t>SWK US 01/20/17 P90 Equity</t>
  </si>
  <si>
    <t>SWK   170120P00090000</t>
  </si>
  <si>
    <t>TIF US 01/20/17 P70 Equity</t>
  </si>
  <si>
    <t>TIF   170120P00070000</t>
  </si>
  <si>
    <t>TMO US 01/20/17 P110 Equity</t>
  </si>
  <si>
    <t>TMO   170120P00110000</t>
  </si>
  <si>
    <t>TRIP US 01/20/17 P60 Equity</t>
  </si>
  <si>
    <t>TRIP  170120P00060000</t>
  </si>
  <si>
    <t>TSN US 01/20/17 P40 Equity</t>
  </si>
  <si>
    <t>TSN   170120P00040000</t>
  </si>
  <si>
    <t>TSO US 01/20/17 P90 Equity</t>
  </si>
  <si>
    <t>TSO   170120P00090000</t>
  </si>
  <si>
    <t>TWC US 01/19/18 P170 Equity</t>
  </si>
  <si>
    <t>TWC   180119P00170000</t>
  </si>
  <si>
    <t>UA US 01/20/17 P87.5 Equity</t>
  </si>
  <si>
    <t>UA    170120P00087500</t>
  </si>
  <si>
    <t>UNH US 01/20/17 P110 Equity</t>
  </si>
  <si>
    <t>UNH   170120P00110000</t>
  </si>
  <si>
    <t>UNH US 01/20/17 P115 Equity</t>
  </si>
  <si>
    <t>UNH   170120P00115000</t>
  </si>
  <si>
    <t>V US 01/20/17 P67.5 Equity</t>
  </si>
  <si>
    <t>V     170120P00067500</t>
  </si>
  <si>
    <t>VLO US 01/20/17 P55 Equity</t>
  </si>
  <si>
    <t>VLO   170120P00055000</t>
  </si>
  <si>
    <t>VLO US 01/20/17 P65 Equity</t>
  </si>
  <si>
    <t>VLO   170120P00065000</t>
  </si>
  <si>
    <t>VMC US 01/20/17 P80 Equity</t>
  </si>
  <si>
    <t>VMC   170120P00080000</t>
  </si>
  <si>
    <t>WFC US 01/20/17 P45 Equity</t>
  </si>
  <si>
    <t>WFC   170120P00045000</t>
  </si>
  <si>
    <t>XLV vs XLF</t>
  </si>
  <si>
    <t>XLV/XLF</t>
  </si>
  <si>
    <t>XLF US 06/17/16 P24 Equity</t>
  </si>
  <si>
    <t>XLF   160617P00024000</t>
  </si>
  <si>
    <t>XLF US 01/20/17 C23 Equity</t>
  </si>
  <si>
    <t>XLF   170120C00023000</t>
  </si>
  <si>
    <t>XLF US 01/20/17 P23 Equity</t>
  </si>
  <si>
    <t>XLF   170120P00023000</t>
  </si>
  <si>
    <t>XLV US 03/18/16 C75 Equity</t>
  </si>
  <si>
    <t>XLV   160318C00075000</t>
  </si>
  <si>
    <t>XLV US 03/18/16 P63 Equity</t>
  </si>
  <si>
    <t>XLV   160318P00063000</t>
  </si>
  <si>
    <t>XLV US 03/18/16 P65 Equity</t>
  </si>
  <si>
    <t>XLV   160318P00065000</t>
  </si>
  <si>
    <t>Select Book</t>
  </si>
  <si>
    <t>Book Filter</t>
  </si>
  <si>
    <t>Position Filter</t>
  </si>
  <si>
    <t>Bid</t>
  </si>
  <si>
    <t>Mid</t>
  </si>
  <si>
    <t>Ask</t>
  </si>
  <si>
    <t>Delta</t>
  </si>
  <si>
    <t>Gamma</t>
  </si>
  <si>
    <t>Vega</t>
  </si>
  <si>
    <t>Theta</t>
  </si>
  <si>
    <t>Yesterday Close</t>
  </si>
  <si>
    <t>Bloomberg Fields</t>
  </si>
  <si>
    <t>DELTA_MID_RT</t>
  </si>
  <si>
    <t>GAMMA_MID_RT</t>
  </si>
  <si>
    <t>GDX US 03/18/16 C15 Equity</t>
  </si>
  <si>
    <t>GDX   160318C00015000</t>
  </si>
  <si>
    <t>BID</t>
  </si>
  <si>
    <t>ASK</t>
  </si>
  <si>
    <t>Calculated Fields</t>
  </si>
  <si>
    <t>Multiplier</t>
  </si>
  <si>
    <t>PX_POS_MULT_FACTOR</t>
  </si>
  <si>
    <t>ImpliedVol</t>
  </si>
  <si>
    <t>UnderlyingPx</t>
  </si>
  <si>
    <t>KSU US Equity</t>
  </si>
  <si>
    <t>KSU</t>
  </si>
  <si>
    <t>NKE US 01/20/17 P57.5 Equity</t>
  </si>
  <si>
    <t>NKE   170120P00057500</t>
  </si>
  <si>
    <t>RSX US Equity</t>
  </si>
  <si>
    <t>RSX</t>
  </si>
  <si>
    <t>RSX US 05/20/16 C16 Equity</t>
  </si>
  <si>
    <t>RSX   160520C00016000</t>
  </si>
  <si>
    <t>RSX US 05/20/16 P14 Equity</t>
  </si>
  <si>
    <t>RSX   160520P00014000</t>
  </si>
  <si>
    <t>SPX UO 03/18/16 C2075 Index</t>
  </si>
  <si>
    <t>SPX   160318C02075000</t>
  </si>
  <si>
    <t>TIF US Equity</t>
  </si>
  <si>
    <t>TIF</t>
  </si>
  <si>
    <t>TSN US 01/20/17 P45 Equity</t>
  </si>
  <si>
    <t>TSN   170120P00045000</t>
  </si>
  <si>
    <t>UA US Equity</t>
  </si>
  <si>
    <t>UA</t>
  </si>
  <si>
    <t>USO US 02/19/16 C12 Equity</t>
  </si>
  <si>
    <t>USO   160219C00012000</t>
  </si>
  <si>
    <t>USO US 02/19/16 C13 Equity</t>
  </si>
  <si>
    <t>USO   160219C00013000</t>
  </si>
  <si>
    <t>USO US 02/19/16 P12 Equity</t>
  </si>
  <si>
    <t>USO   160219P00012000</t>
  </si>
  <si>
    <t>XLF US 06/17/16 C25 Equity</t>
  </si>
  <si>
    <t>XLF   160617C00025000</t>
  </si>
  <si>
    <t>OPT_UNDL_PX</t>
  </si>
  <si>
    <t>IYR UL 03/18/16 P75 Equity</t>
  </si>
  <si>
    <t>IYR   160318P00075000</t>
  </si>
  <si>
    <t>VEGA_MID_RT</t>
  </si>
  <si>
    <t>THETA_MID_RT</t>
  </si>
  <si>
    <t>dollarDelta</t>
  </si>
  <si>
    <t>dollarGamma</t>
  </si>
  <si>
    <t>dollarTheta</t>
  </si>
  <si>
    <t>dollarVega</t>
  </si>
  <si>
    <t>Date</t>
  </si>
  <si>
    <t>AUM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</si>
</sst>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 tint="-0.1499679555650502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0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1" xfId="0" applyFont="1" applyBorder="1"/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1" fillId="3" borderId="0" xfId="0" applyFont="1" applyFill="1" applyAlignment="1">
      <alignment horizontal="right"/>
    </xf>
    <xf numFmtId="0" fontId="1" fillId="3" borderId="0" xfId="0" applyFont="1" applyFill="1"/>
    <xf numFmtId="0" fontId="4" fillId="3" borderId="0" xfId="0" applyFont="1" applyFill="1" applyAlignment="1">
      <alignment horizontal="right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right"/>
    </xf>
    <xf numFmtId="0" fontId="1" fillId="2" borderId="4" xfId="0" applyFont="1" applyFill="1" applyBorder="1"/>
    <xf numFmtId="0" fontId="1" fillId="3" borderId="4" xfId="0" applyFont="1" applyFill="1" applyBorder="1"/>
    <xf numFmtId="0" fontId="1" fillId="2" borderId="3" xfId="0" applyFont="1" applyFill="1" applyBorder="1"/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2" fillId="3" borderId="4" xfId="0" applyFont="1" applyFill="1" applyBorder="1"/>
    <xf numFmtId="0" fontId="5" fillId="2" borderId="0" xfId="0" applyFont="1" applyFill="1"/>
    <xf numFmtId="164" fontId="1" fillId="2" borderId="0" xfId="1" applyNumberFormat="1" applyFont="1" applyFill="1"/>
    <xf numFmtId="164" fontId="2" fillId="0" borderId="1" xfId="1" applyNumberFormat="1" applyFont="1" applyBorder="1"/>
    <xf numFmtId="164" fontId="1" fillId="0" borderId="0" xfId="1" applyNumberFormat="1" applyFont="1"/>
    <xf numFmtId="14" fontId="1" fillId="2" borderId="0" xfId="0" applyNumberFormat="1" applyFont="1" applyFill="1"/>
    <xf numFmtId="0" fontId="9" fillId="0" borderId="0" xfId="0" applyFont="1" applyAlignment="1">
      <alignment horizontal="right"/>
    </xf>
    <xf numFmtId="0" fontId="9" fillId="0" borderId="0" xfId="0" applyFont="1"/>
    <xf numFmtId="3" fontId="5" fillId="2" borderId="0" xfId="0" applyNumberFormat="1" applyFont="1" applyFill="1"/>
    <xf numFmtId="10" fontId="1" fillId="2" borderId="0" xfId="2" applyNumberFormat="1" applyFont="1" applyFill="1"/>
    <xf numFmtId="10" fontId="2" fillId="0" borderId="1" xfId="2" applyNumberFormat="1" applyFont="1" applyBorder="1"/>
    <xf numFmtId="10" fontId="1" fillId="0" borderId="0" xfId="2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sel="1" val="0">
  <itemLst>
    <item val="Volatility"/>
    <item val="Event"/>
  </itemLst>
</formControlPr>
</file>

<file path=xl/ctrlProps/ctrlProp3.xml><?xml version="1.0" encoding="utf-8"?>
<formControlPr xmlns="http://schemas.microsoft.com/office/spreadsheetml/2009/9/main" objectType="Drop" dropStyle="combo" dx="16" sel="12" val="7">
  <itemLst>
    <item val="INFTEC"/>
    <item val="FINANC"/>
    <item val="HEALTH"/>
    <item val="CONDIS"/>
    <item val="MATERI"/>
    <item val="INDUST"/>
    <item val="BRCM"/>
    <item val="CONSTA"/>
    <item val="GDX/IYR"/>
    <item val="UTILIT"/>
    <item val="ENERGY"/>
    <item val="USO/RSX"/>
    <item val="OVERLAY"/>
    <item val="DMRISK"/>
    <item val="XLV/XLF"/>
  </itemLst>
</formControlPr>
</file>

<file path=xl/ctrlProps/ctrlProp4.xml><?xml version="1.0" encoding="utf-8"?>
<formControlPr xmlns="http://schemas.microsoft.com/office/spreadsheetml/2009/9/main" objectType="List" dx="22" fmlaRange="$A$60:$A$70" multiSel="11, 9, 7, 6, 5, 4, 3, 1" sel="0" seltype="multi" val="0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List" dx="22" fmlaRange="$B$60:$B$68" multiSel="4, 3, 2, 1" sel="0" seltype="multi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37</xdr:row>
          <xdr:rowOff>114300</xdr:rowOff>
        </xdr:from>
        <xdr:to>
          <xdr:col>1</xdr:col>
          <xdr:colOff>76200</xdr:colOff>
          <xdr:row>39</xdr:row>
          <xdr:rowOff>28575</xdr:rowOff>
        </xdr:to>
        <xdr:sp macro="" textlink="">
          <xdr:nvSpPr>
            <xdr:cNvPr id="1025" name="Positio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142875</xdr:rowOff>
        </xdr:from>
        <xdr:to>
          <xdr:col>2</xdr:col>
          <xdr:colOff>342900</xdr:colOff>
          <xdr:row>8</xdr:row>
          <xdr:rowOff>19050</xdr:rowOff>
        </xdr:to>
        <xdr:sp macro="" textlink="">
          <xdr:nvSpPr>
            <xdr:cNvPr id="7766" name="BookFilter" hidden="1">
              <a:extLst>
                <a:ext uri="{63B3BB69-23CF-44E3-9099-C40C66FF867C}">
                  <a14:compatExt spid="_x0000_s7766"/>
                </a:ext>
                <a:ext uri="{FF2B5EF4-FFF2-40B4-BE49-F238E27FC236}">
                  <a16:creationId xmlns:a16="http://schemas.microsoft.com/office/drawing/2014/main" id="{00000000-0008-0000-0000-0000561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2</xdr:col>
          <xdr:colOff>314325</xdr:colOff>
          <xdr:row>10</xdr:row>
          <xdr:rowOff>9525</xdr:rowOff>
        </xdr:to>
        <xdr:sp macro="" textlink="">
          <xdr:nvSpPr>
            <xdr:cNvPr id="9510" name="PositionNameFilter" hidden="1">
              <a:extLst>
                <a:ext uri="{63B3BB69-23CF-44E3-9099-C40C66FF867C}">
                  <a14:compatExt spid="_x0000_s9510"/>
                </a:ext>
                <a:ext uri="{FF2B5EF4-FFF2-40B4-BE49-F238E27FC236}">
                  <a16:creationId xmlns:a16="http://schemas.microsoft.com/office/drawing/2014/main" id="{00000000-0008-0000-0000-00002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13</xdr:row>
          <xdr:rowOff>9525</xdr:rowOff>
        </xdr:from>
        <xdr:to>
          <xdr:col>2</xdr:col>
          <xdr:colOff>438150</xdr:colOff>
          <xdr:row>24</xdr:row>
          <xdr:rowOff>76200</xdr:rowOff>
        </xdr:to>
        <xdr:sp macro="" textlink="">
          <xdr:nvSpPr>
            <xdr:cNvPr id="12778" name="BloombergListBox" hidden="1">
              <a:extLst>
                <a:ext uri="{63B3BB69-23CF-44E3-9099-C40C66FF867C}">
                  <a14:compatExt spid="_x0000_s12778"/>
                </a:ext>
                <a:ext uri="{FF2B5EF4-FFF2-40B4-BE49-F238E27FC236}">
                  <a16:creationId xmlns:a16="http://schemas.microsoft.com/office/drawing/2014/main" id="{00000000-0008-0000-0000-0000E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37</xdr:row>
          <xdr:rowOff>104775</xdr:rowOff>
        </xdr:from>
        <xdr:to>
          <xdr:col>2</xdr:col>
          <xdr:colOff>533400</xdr:colOff>
          <xdr:row>39</xdr:row>
          <xdr:rowOff>85725</xdr:rowOff>
        </xdr:to>
        <xdr:sp macro="" textlink="">
          <xdr:nvSpPr>
            <xdr:cNvPr id="23356" name="PositionToggler" hidden="1">
              <a:extLst>
                <a:ext uri="{63B3BB69-23CF-44E3-9099-C40C66FF867C}">
                  <a14:compatExt spid="_x0000_s23356"/>
                </a:ext>
                <a:ext uri="{FF2B5EF4-FFF2-40B4-BE49-F238E27FC236}">
                  <a16:creationId xmlns:a16="http://schemas.microsoft.com/office/drawing/2014/main" id="{00000000-0008-0000-0000-00003C5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Toggle Positions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41</xdr:row>
          <xdr:rowOff>57150</xdr:rowOff>
        </xdr:from>
        <xdr:to>
          <xdr:col>1</xdr:col>
          <xdr:colOff>95250</xdr:colOff>
          <xdr:row>42</xdr:row>
          <xdr:rowOff>133350</xdr:rowOff>
        </xdr:to>
        <xdr:sp macro="" textlink="">
          <xdr:nvSpPr>
            <xdr:cNvPr id="23380" name="StagingButton" hidden="1">
              <a:extLst>
                <a:ext uri="{63B3BB69-23CF-44E3-9099-C40C66FF867C}">
                  <a14:compatExt spid="_x0000_s23380"/>
                </a:ext>
                <a:ext uri="{FF2B5EF4-FFF2-40B4-BE49-F238E27FC236}">
                  <a16:creationId xmlns:a16="http://schemas.microsoft.com/office/drawing/2014/main" id="{00000000-0008-0000-0000-0000545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Stage 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142875</xdr:rowOff>
        </xdr:from>
        <xdr:to>
          <xdr:col>1</xdr:col>
          <xdr:colOff>504825</xdr:colOff>
          <xdr:row>6</xdr:row>
          <xdr:rowOff>28575</xdr:rowOff>
        </xdr:to>
        <xdr:sp macro="" textlink="">
          <xdr:nvSpPr>
            <xdr:cNvPr id="24507" name="ProdOption" hidden="1">
              <a:extLst>
                <a:ext uri="{63B3BB69-23CF-44E3-9099-C40C66FF867C}">
                  <a14:compatExt spid="_x0000_s24507"/>
                </a:ext>
                <a:ext uri="{FF2B5EF4-FFF2-40B4-BE49-F238E27FC236}">
                  <a16:creationId xmlns:a16="http://schemas.microsoft.com/office/drawing/2014/main" id="{00000000-0008-0000-0000-0000B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>
                <a:alpha val="2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4</xdr:row>
          <xdr:rowOff>142875</xdr:rowOff>
        </xdr:from>
        <xdr:to>
          <xdr:col>2</xdr:col>
          <xdr:colOff>381000</xdr:colOff>
          <xdr:row>6</xdr:row>
          <xdr:rowOff>28575</xdr:rowOff>
        </xdr:to>
        <xdr:sp macro="" textlink="">
          <xdr:nvSpPr>
            <xdr:cNvPr id="24508" name="BetaOption" hidden="1">
              <a:extLst>
                <a:ext uri="{63B3BB69-23CF-44E3-9099-C40C66FF867C}">
                  <a14:compatExt spid="_x0000_s24508"/>
                </a:ext>
                <a:ext uri="{FF2B5EF4-FFF2-40B4-BE49-F238E27FC236}">
                  <a16:creationId xmlns:a16="http://schemas.microsoft.com/office/drawing/2014/main" id="{00000000-0008-0000-0000-0000B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>
                <a:alpha val="2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25</xdr:row>
          <xdr:rowOff>9525</xdr:rowOff>
        </xdr:from>
        <xdr:to>
          <xdr:col>2</xdr:col>
          <xdr:colOff>438150</xdr:colOff>
          <xdr:row>36</xdr:row>
          <xdr:rowOff>76200</xdr:rowOff>
        </xdr:to>
        <xdr:sp macro="" textlink="">
          <xdr:nvSpPr>
            <xdr:cNvPr id="27954" name="CalcsListBox" hidden="1">
              <a:extLst>
                <a:ext uri="{63B3BB69-23CF-44E3-9099-C40C66FF867C}">
                  <a14:compatExt spid="_x0000_s27954"/>
                </a:ext>
                <a:ext uri="{FF2B5EF4-FFF2-40B4-BE49-F238E27FC236}">
                  <a16:creationId xmlns:a16="http://schemas.microsoft.com/office/drawing/2014/main" id="{00000000-0008-0000-0000-000032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39</xdr:row>
          <xdr:rowOff>85725</xdr:rowOff>
        </xdr:from>
        <xdr:to>
          <xdr:col>1</xdr:col>
          <xdr:colOff>85725</xdr:colOff>
          <xdr:row>40</xdr:row>
          <xdr:rowOff>161925</xdr:rowOff>
        </xdr:to>
        <xdr:sp macro="" textlink="">
          <xdr:nvSpPr>
            <xdr:cNvPr id="37889" name="CalcButton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39</xdr:row>
          <xdr:rowOff>38100</xdr:rowOff>
        </xdr:from>
        <xdr:to>
          <xdr:col>2</xdr:col>
          <xdr:colOff>523875</xdr:colOff>
          <xdr:row>41</xdr:row>
          <xdr:rowOff>19050</xdr:rowOff>
        </xdr:to>
        <xdr:sp macro="" textlink="">
          <xdr:nvSpPr>
            <xdr:cNvPr id="37993" name="AumToggle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0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 % of AUM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</xdr:row>
          <xdr:rowOff>152400</xdr:rowOff>
        </xdr:from>
        <xdr:to>
          <xdr:col>4</xdr:col>
          <xdr:colOff>9525</xdr:colOff>
          <xdr:row>4</xdr:row>
          <xdr:rowOff>38100</xdr:rowOff>
        </xdr:to>
        <xdr:sp macro="" textlink="">
          <xdr:nvSpPr>
            <xdr:cNvPr id="38215" name="PositionCheckBox0" hidden="1">
              <a:extLst>
                <a:ext uri="{63B3BB69-23CF-44E3-9099-C40C66FF867C}">
                  <a14:compatExt spid="_x0000_s38215"/>
                </a:ext>
                <a:ext uri="{FF2B5EF4-FFF2-40B4-BE49-F238E27FC236}">
                  <a16:creationId xmlns:a16="http://schemas.microsoft.com/office/drawing/2014/main" id="{00000000-0008-0000-0000-00004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</xdr:row>
          <xdr:rowOff>142875</xdr:rowOff>
        </xdr:from>
        <xdr:to>
          <xdr:col>4</xdr:col>
          <xdr:colOff>9525</xdr:colOff>
          <xdr:row>5</xdr:row>
          <xdr:rowOff>28575</xdr:rowOff>
        </xdr:to>
        <xdr:sp macro="" textlink="">
          <xdr:nvSpPr>
            <xdr:cNvPr id="38216" name="PositionCheckBox1" hidden="1">
              <a:extLst>
                <a:ext uri="{63B3BB69-23CF-44E3-9099-C40C66FF867C}">
                  <a14:compatExt spid="_x0000_s38216"/>
                </a:ext>
                <a:ext uri="{FF2B5EF4-FFF2-40B4-BE49-F238E27FC236}">
                  <a16:creationId xmlns:a16="http://schemas.microsoft.com/office/drawing/2014/main" id="{00000000-0008-0000-0000-00004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152400</xdr:rowOff>
        </xdr:from>
        <xdr:to>
          <xdr:col>4</xdr:col>
          <xdr:colOff>9525</xdr:colOff>
          <xdr:row>6</xdr:row>
          <xdr:rowOff>38100</xdr:rowOff>
        </xdr:to>
        <xdr:sp macro="" textlink="">
          <xdr:nvSpPr>
            <xdr:cNvPr id="38217" name="PositionCheckBox2" hidden="1">
              <a:extLst>
                <a:ext uri="{63B3BB69-23CF-44E3-9099-C40C66FF867C}">
                  <a14:compatExt spid="_x0000_s38217"/>
                </a:ext>
                <a:ext uri="{FF2B5EF4-FFF2-40B4-BE49-F238E27FC236}">
                  <a16:creationId xmlns:a16="http://schemas.microsoft.com/office/drawing/2014/main" id="{00000000-0008-0000-0000-00004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</xdr:row>
          <xdr:rowOff>152400</xdr:rowOff>
        </xdr:from>
        <xdr:to>
          <xdr:col>4</xdr:col>
          <xdr:colOff>9525</xdr:colOff>
          <xdr:row>7</xdr:row>
          <xdr:rowOff>38100</xdr:rowOff>
        </xdr:to>
        <xdr:sp macro="" textlink="">
          <xdr:nvSpPr>
            <xdr:cNvPr id="38218" name="PositionCheckBox3" hidden="1">
              <a:extLst>
                <a:ext uri="{63B3BB69-23CF-44E3-9099-C40C66FF867C}">
                  <a14:compatExt spid="_x0000_s38218"/>
                </a:ext>
                <a:ext uri="{FF2B5EF4-FFF2-40B4-BE49-F238E27FC236}">
                  <a16:creationId xmlns:a16="http://schemas.microsoft.com/office/drawing/2014/main" id="{00000000-0008-0000-0000-00004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</xdr:row>
          <xdr:rowOff>152400</xdr:rowOff>
        </xdr:from>
        <xdr:to>
          <xdr:col>4</xdr:col>
          <xdr:colOff>9525</xdr:colOff>
          <xdr:row>8</xdr:row>
          <xdr:rowOff>38100</xdr:rowOff>
        </xdr:to>
        <xdr:sp macro="" textlink="">
          <xdr:nvSpPr>
            <xdr:cNvPr id="38219" name="PositionCheckBox4" hidden="1">
              <a:extLst>
                <a:ext uri="{63B3BB69-23CF-44E3-9099-C40C66FF867C}">
                  <a14:compatExt spid="_x0000_s38219"/>
                </a:ext>
                <a:ext uri="{FF2B5EF4-FFF2-40B4-BE49-F238E27FC236}">
                  <a16:creationId xmlns:a16="http://schemas.microsoft.com/office/drawing/2014/main" id="{00000000-0008-0000-0000-00004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</xdr:row>
          <xdr:rowOff>142875</xdr:rowOff>
        </xdr:from>
        <xdr:to>
          <xdr:col>4</xdr:col>
          <xdr:colOff>9525</xdr:colOff>
          <xdr:row>9</xdr:row>
          <xdr:rowOff>28575</xdr:rowOff>
        </xdr:to>
        <xdr:sp macro="" textlink="">
          <xdr:nvSpPr>
            <xdr:cNvPr id="38220" name="PositionCheckBox5" hidden="1">
              <a:extLst>
                <a:ext uri="{63B3BB69-23CF-44E3-9099-C40C66FF867C}">
                  <a14:compatExt spid="_x0000_s38220"/>
                </a:ext>
                <a:ext uri="{FF2B5EF4-FFF2-40B4-BE49-F238E27FC236}">
                  <a16:creationId xmlns:a16="http://schemas.microsoft.com/office/drawing/2014/main" id="{00000000-0008-0000-0000-00004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8</xdr:row>
          <xdr:rowOff>152400</xdr:rowOff>
        </xdr:from>
        <xdr:to>
          <xdr:col>4</xdr:col>
          <xdr:colOff>9525</xdr:colOff>
          <xdr:row>10</xdr:row>
          <xdr:rowOff>38100</xdr:rowOff>
        </xdr:to>
        <xdr:sp macro="" textlink="">
          <xdr:nvSpPr>
            <xdr:cNvPr id="38221" name="PositionCheckBox6" hidden="1">
              <a:extLst>
                <a:ext uri="{63B3BB69-23CF-44E3-9099-C40C66FF867C}">
                  <a14:compatExt spid="_x0000_s38221"/>
                </a:ext>
                <a:ext uri="{FF2B5EF4-FFF2-40B4-BE49-F238E27FC236}">
                  <a16:creationId xmlns:a16="http://schemas.microsoft.com/office/drawing/2014/main" id="{00000000-0008-0000-0000-00004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9</xdr:row>
          <xdr:rowOff>152400</xdr:rowOff>
        </xdr:from>
        <xdr:to>
          <xdr:col>4</xdr:col>
          <xdr:colOff>9525</xdr:colOff>
          <xdr:row>11</xdr:row>
          <xdr:rowOff>38100</xdr:rowOff>
        </xdr:to>
        <xdr:sp macro="" textlink="">
          <xdr:nvSpPr>
            <xdr:cNvPr id="38222" name="PositionCheckBox7" hidden="1">
              <a:extLst>
                <a:ext uri="{63B3BB69-23CF-44E3-9099-C40C66FF867C}">
                  <a14:compatExt spid="_x0000_s38222"/>
                </a:ext>
                <a:ext uri="{FF2B5EF4-FFF2-40B4-BE49-F238E27FC236}">
                  <a16:creationId xmlns:a16="http://schemas.microsoft.com/office/drawing/2014/main" id="{00000000-0008-0000-0000-00004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10</xdr:row>
          <xdr:rowOff>152400</xdr:rowOff>
        </xdr:from>
        <xdr:to>
          <xdr:col>4</xdr:col>
          <xdr:colOff>9525</xdr:colOff>
          <xdr:row>12</xdr:row>
          <xdr:rowOff>38100</xdr:rowOff>
        </xdr:to>
        <xdr:sp macro="" textlink="">
          <xdr:nvSpPr>
            <xdr:cNvPr id="38223" name="PositionCheckBox8" hidden="1">
              <a:extLst>
                <a:ext uri="{63B3BB69-23CF-44E3-9099-C40C66FF867C}">
                  <a14:compatExt spid="_x0000_s38223"/>
                </a:ext>
                <a:ext uri="{FF2B5EF4-FFF2-40B4-BE49-F238E27FC236}">
                  <a16:creationId xmlns:a16="http://schemas.microsoft.com/office/drawing/2014/main" id="{00000000-0008-0000-0000-00004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11</xdr:row>
          <xdr:rowOff>142875</xdr:rowOff>
        </xdr:from>
        <xdr:to>
          <xdr:col>4</xdr:col>
          <xdr:colOff>9525</xdr:colOff>
          <xdr:row>13</xdr:row>
          <xdr:rowOff>28575</xdr:rowOff>
        </xdr:to>
        <xdr:sp macro="" textlink="">
          <xdr:nvSpPr>
            <xdr:cNvPr id="38224" name="PositionCheckBox9" hidden="1">
              <a:extLst>
                <a:ext uri="{63B3BB69-23CF-44E3-9099-C40C66FF867C}">
                  <a14:compatExt spid="_x0000_s38224"/>
                </a:ext>
                <a:ext uri="{FF2B5EF4-FFF2-40B4-BE49-F238E27FC236}">
                  <a16:creationId xmlns:a16="http://schemas.microsoft.com/office/drawing/2014/main" id="{00000000-0008-0000-0000-00005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12</xdr:row>
          <xdr:rowOff>152400</xdr:rowOff>
        </xdr:from>
        <xdr:to>
          <xdr:col>4</xdr:col>
          <xdr:colOff>9525</xdr:colOff>
          <xdr:row>14</xdr:row>
          <xdr:rowOff>38100</xdr:rowOff>
        </xdr:to>
        <xdr:sp macro="" textlink="">
          <xdr:nvSpPr>
            <xdr:cNvPr id="38225" name="PositionCheckBox10" hidden="1">
              <a:extLst>
                <a:ext uri="{63B3BB69-23CF-44E3-9099-C40C66FF867C}">
                  <a14:compatExt spid="_x0000_s38225"/>
                </a:ext>
                <a:ext uri="{FF2B5EF4-FFF2-40B4-BE49-F238E27FC236}">
                  <a16:creationId xmlns:a16="http://schemas.microsoft.com/office/drawing/2014/main" id="{00000000-0008-0000-0000-00005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13</xdr:row>
          <xdr:rowOff>152400</xdr:rowOff>
        </xdr:from>
        <xdr:to>
          <xdr:col>4</xdr:col>
          <xdr:colOff>9525</xdr:colOff>
          <xdr:row>15</xdr:row>
          <xdr:rowOff>38100</xdr:rowOff>
        </xdr:to>
        <xdr:sp macro="" textlink="">
          <xdr:nvSpPr>
            <xdr:cNvPr id="38226" name="PositionCheckBox11" hidden="1">
              <a:extLst>
                <a:ext uri="{63B3BB69-23CF-44E3-9099-C40C66FF867C}">
                  <a14:compatExt spid="_x0000_s38226"/>
                </a:ext>
                <a:ext uri="{FF2B5EF4-FFF2-40B4-BE49-F238E27FC236}">
                  <a16:creationId xmlns:a16="http://schemas.microsoft.com/office/drawing/2014/main" id="{00000000-0008-0000-0000-00005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14</xdr:row>
          <xdr:rowOff>152400</xdr:rowOff>
        </xdr:from>
        <xdr:to>
          <xdr:col>4</xdr:col>
          <xdr:colOff>9525</xdr:colOff>
          <xdr:row>16</xdr:row>
          <xdr:rowOff>38100</xdr:rowOff>
        </xdr:to>
        <xdr:sp macro="" textlink="">
          <xdr:nvSpPr>
            <xdr:cNvPr id="38227" name="PositionCheckBox12" hidden="1">
              <a:extLst>
                <a:ext uri="{63B3BB69-23CF-44E3-9099-C40C66FF867C}">
                  <a14:compatExt spid="_x0000_s38227"/>
                </a:ext>
                <a:ext uri="{FF2B5EF4-FFF2-40B4-BE49-F238E27FC236}">
                  <a16:creationId xmlns:a16="http://schemas.microsoft.com/office/drawing/2014/main" id="{00000000-0008-0000-0000-00005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15</xdr:row>
          <xdr:rowOff>142875</xdr:rowOff>
        </xdr:from>
        <xdr:to>
          <xdr:col>4</xdr:col>
          <xdr:colOff>9525</xdr:colOff>
          <xdr:row>17</xdr:row>
          <xdr:rowOff>28575</xdr:rowOff>
        </xdr:to>
        <xdr:sp macro="" textlink="">
          <xdr:nvSpPr>
            <xdr:cNvPr id="38228" name="PositionCheckBox13" hidden="1">
              <a:extLst>
                <a:ext uri="{63B3BB69-23CF-44E3-9099-C40C66FF867C}">
                  <a14:compatExt spid="_x0000_s38228"/>
                </a:ext>
                <a:ext uri="{FF2B5EF4-FFF2-40B4-BE49-F238E27FC236}">
                  <a16:creationId xmlns:a16="http://schemas.microsoft.com/office/drawing/2014/main" id="{00000000-0008-0000-0000-00005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16</xdr:row>
          <xdr:rowOff>152400</xdr:rowOff>
        </xdr:from>
        <xdr:to>
          <xdr:col>4</xdr:col>
          <xdr:colOff>9525</xdr:colOff>
          <xdr:row>18</xdr:row>
          <xdr:rowOff>38100</xdr:rowOff>
        </xdr:to>
        <xdr:sp macro="" textlink="">
          <xdr:nvSpPr>
            <xdr:cNvPr id="38229" name="PositionCheckBox14" hidden="1">
              <a:extLst>
                <a:ext uri="{63B3BB69-23CF-44E3-9099-C40C66FF867C}">
                  <a14:compatExt spid="_x0000_s38229"/>
                </a:ext>
                <a:ext uri="{FF2B5EF4-FFF2-40B4-BE49-F238E27FC236}">
                  <a16:creationId xmlns:a16="http://schemas.microsoft.com/office/drawing/2014/main" id="{00000000-0008-0000-0000-00005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17</xdr:row>
          <xdr:rowOff>152400</xdr:rowOff>
        </xdr:from>
        <xdr:to>
          <xdr:col>4</xdr:col>
          <xdr:colOff>9525</xdr:colOff>
          <xdr:row>19</xdr:row>
          <xdr:rowOff>38100</xdr:rowOff>
        </xdr:to>
        <xdr:sp macro="" textlink="">
          <xdr:nvSpPr>
            <xdr:cNvPr id="38230" name="PositionCheckBox15" hidden="1">
              <a:extLst>
                <a:ext uri="{63B3BB69-23CF-44E3-9099-C40C66FF867C}">
                  <a14:compatExt spid="_x0000_s38230"/>
                </a:ext>
                <a:ext uri="{FF2B5EF4-FFF2-40B4-BE49-F238E27FC236}">
                  <a16:creationId xmlns:a16="http://schemas.microsoft.com/office/drawing/2014/main" id="{00000000-0008-0000-0000-00005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18</xdr:row>
          <xdr:rowOff>152400</xdr:rowOff>
        </xdr:from>
        <xdr:to>
          <xdr:col>4</xdr:col>
          <xdr:colOff>9525</xdr:colOff>
          <xdr:row>20</xdr:row>
          <xdr:rowOff>38100</xdr:rowOff>
        </xdr:to>
        <xdr:sp macro="" textlink="">
          <xdr:nvSpPr>
            <xdr:cNvPr id="38231" name="PositionCheckBox16" hidden="1">
              <a:extLst>
                <a:ext uri="{63B3BB69-23CF-44E3-9099-C40C66FF867C}">
                  <a14:compatExt spid="_x0000_s38231"/>
                </a:ext>
                <a:ext uri="{FF2B5EF4-FFF2-40B4-BE49-F238E27FC236}">
                  <a16:creationId xmlns:a16="http://schemas.microsoft.com/office/drawing/2014/main" id="{00000000-0008-0000-0000-00005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19</xdr:row>
          <xdr:rowOff>142875</xdr:rowOff>
        </xdr:from>
        <xdr:to>
          <xdr:col>4</xdr:col>
          <xdr:colOff>9525</xdr:colOff>
          <xdr:row>21</xdr:row>
          <xdr:rowOff>28575</xdr:rowOff>
        </xdr:to>
        <xdr:sp macro="" textlink="">
          <xdr:nvSpPr>
            <xdr:cNvPr id="38232" name="PositionCheckBox17" hidden="1">
              <a:extLst>
                <a:ext uri="{63B3BB69-23CF-44E3-9099-C40C66FF867C}">
                  <a14:compatExt spid="_x0000_s38232"/>
                </a:ext>
                <a:ext uri="{FF2B5EF4-FFF2-40B4-BE49-F238E27FC236}">
                  <a16:creationId xmlns:a16="http://schemas.microsoft.com/office/drawing/2014/main" id="{00000000-0008-0000-0000-00005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20</xdr:row>
          <xdr:rowOff>152400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38233" name="PositionCheckBox18" hidden="1">
              <a:extLst>
                <a:ext uri="{63B3BB69-23CF-44E3-9099-C40C66FF867C}">
                  <a14:compatExt spid="_x0000_s38233"/>
                </a:ext>
                <a:ext uri="{FF2B5EF4-FFF2-40B4-BE49-F238E27FC236}">
                  <a16:creationId xmlns:a16="http://schemas.microsoft.com/office/drawing/2014/main" id="{00000000-0008-0000-0000-00005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21</xdr:row>
          <xdr:rowOff>152400</xdr:rowOff>
        </xdr:from>
        <xdr:to>
          <xdr:col>4</xdr:col>
          <xdr:colOff>9525</xdr:colOff>
          <xdr:row>23</xdr:row>
          <xdr:rowOff>38100</xdr:rowOff>
        </xdr:to>
        <xdr:sp macro="" textlink="">
          <xdr:nvSpPr>
            <xdr:cNvPr id="38234" name="PositionCheckBox19" hidden="1">
              <a:extLst>
                <a:ext uri="{63B3BB69-23CF-44E3-9099-C40C66FF867C}">
                  <a14:compatExt spid="_x0000_s38234"/>
                </a:ext>
                <a:ext uri="{FF2B5EF4-FFF2-40B4-BE49-F238E27FC236}">
                  <a16:creationId xmlns:a16="http://schemas.microsoft.com/office/drawing/2014/main" id="{00000000-0008-0000-0000-00005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22</xdr:row>
          <xdr:rowOff>152400</xdr:rowOff>
        </xdr:from>
        <xdr:to>
          <xdr:col>4</xdr:col>
          <xdr:colOff>9525</xdr:colOff>
          <xdr:row>24</xdr:row>
          <xdr:rowOff>38100</xdr:rowOff>
        </xdr:to>
        <xdr:sp macro="" textlink="">
          <xdr:nvSpPr>
            <xdr:cNvPr id="38235" name="PositionCheckBox20" hidden="1">
              <a:extLst>
                <a:ext uri="{63B3BB69-23CF-44E3-9099-C40C66FF867C}">
                  <a14:compatExt spid="_x0000_s38235"/>
                </a:ext>
                <a:ext uri="{FF2B5EF4-FFF2-40B4-BE49-F238E27FC236}">
                  <a16:creationId xmlns:a16="http://schemas.microsoft.com/office/drawing/2014/main" id="{00000000-0008-0000-0000-00005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23</xdr:row>
          <xdr:rowOff>142875</xdr:rowOff>
        </xdr:from>
        <xdr:to>
          <xdr:col>4</xdr:col>
          <xdr:colOff>9525</xdr:colOff>
          <xdr:row>25</xdr:row>
          <xdr:rowOff>28575</xdr:rowOff>
        </xdr:to>
        <xdr:sp macro="" textlink="">
          <xdr:nvSpPr>
            <xdr:cNvPr id="38236" name="PositionCheckBox21" hidden="1">
              <a:extLst>
                <a:ext uri="{63B3BB69-23CF-44E3-9099-C40C66FF867C}">
                  <a14:compatExt spid="_x0000_s38236"/>
                </a:ext>
                <a:ext uri="{FF2B5EF4-FFF2-40B4-BE49-F238E27FC236}">
                  <a16:creationId xmlns:a16="http://schemas.microsoft.com/office/drawing/2014/main" id="{00000000-0008-0000-0000-00005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24</xdr:row>
          <xdr:rowOff>152400</xdr:rowOff>
        </xdr:from>
        <xdr:to>
          <xdr:col>4</xdr:col>
          <xdr:colOff>9525</xdr:colOff>
          <xdr:row>26</xdr:row>
          <xdr:rowOff>38100</xdr:rowOff>
        </xdr:to>
        <xdr:sp macro="" textlink="">
          <xdr:nvSpPr>
            <xdr:cNvPr id="38237" name="PositionCheckBox22" hidden="1">
              <a:extLst>
                <a:ext uri="{63B3BB69-23CF-44E3-9099-C40C66FF867C}">
                  <a14:compatExt spid="_x0000_s38237"/>
                </a:ext>
                <a:ext uri="{FF2B5EF4-FFF2-40B4-BE49-F238E27FC236}">
                  <a16:creationId xmlns:a16="http://schemas.microsoft.com/office/drawing/2014/main" id="{00000000-0008-0000-0000-00005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25</xdr:row>
          <xdr:rowOff>152400</xdr:rowOff>
        </xdr:from>
        <xdr:to>
          <xdr:col>4</xdr:col>
          <xdr:colOff>9525</xdr:colOff>
          <xdr:row>27</xdr:row>
          <xdr:rowOff>38100</xdr:rowOff>
        </xdr:to>
        <xdr:sp macro="" textlink="">
          <xdr:nvSpPr>
            <xdr:cNvPr id="38238" name="PositionCheckBox23" hidden="1">
              <a:extLst>
                <a:ext uri="{63B3BB69-23CF-44E3-9099-C40C66FF867C}">
                  <a14:compatExt spid="_x0000_s38238"/>
                </a:ext>
                <a:ext uri="{FF2B5EF4-FFF2-40B4-BE49-F238E27FC236}">
                  <a16:creationId xmlns:a16="http://schemas.microsoft.com/office/drawing/2014/main" id="{00000000-0008-0000-0000-00005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26</xdr:row>
          <xdr:rowOff>152400</xdr:rowOff>
        </xdr:from>
        <xdr:to>
          <xdr:col>4</xdr:col>
          <xdr:colOff>9525</xdr:colOff>
          <xdr:row>28</xdr:row>
          <xdr:rowOff>38100</xdr:rowOff>
        </xdr:to>
        <xdr:sp macro="" textlink="">
          <xdr:nvSpPr>
            <xdr:cNvPr id="38239" name="PositionCheckBox24" hidden="1">
              <a:extLst>
                <a:ext uri="{63B3BB69-23CF-44E3-9099-C40C66FF867C}">
                  <a14:compatExt spid="_x0000_s38239"/>
                </a:ext>
                <a:ext uri="{FF2B5EF4-FFF2-40B4-BE49-F238E27FC236}">
                  <a16:creationId xmlns:a16="http://schemas.microsoft.com/office/drawing/2014/main" id="{00000000-0008-0000-0000-00005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27</xdr:row>
          <xdr:rowOff>142875</xdr:rowOff>
        </xdr:from>
        <xdr:to>
          <xdr:col>4</xdr:col>
          <xdr:colOff>9525</xdr:colOff>
          <xdr:row>29</xdr:row>
          <xdr:rowOff>28575</xdr:rowOff>
        </xdr:to>
        <xdr:sp macro="" textlink="">
          <xdr:nvSpPr>
            <xdr:cNvPr id="38240" name="PositionCheckBox25" hidden="1">
              <a:extLst>
                <a:ext uri="{63B3BB69-23CF-44E3-9099-C40C66FF867C}">
                  <a14:compatExt spid="_x0000_s38240"/>
                </a:ext>
                <a:ext uri="{FF2B5EF4-FFF2-40B4-BE49-F238E27FC236}">
                  <a16:creationId xmlns:a16="http://schemas.microsoft.com/office/drawing/2014/main" id="{00000000-0008-0000-0000-00006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28</xdr:row>
          <xdr:rowOff>152400</xdr:rowOff>
        </xdr:from>
        <xdr:to>
          <xdr:col>4</xdr:col>
          <xdr:colOff>9525</xdr:colOff>
          <xdr:row>30</xdr:row>
          <xdr:rowOff>38100</xdr:rowOff>
        </xdr:to>
        <xdr:sp macro="" textlink="">
          <xdr:nvSpPr>
            <xdr:cNvPr id="38241" name="PositionCheckBox26" hidden="1">
              <a:extLst>
                <a:ext uri="{63B3BB69-23CF-44E3-9099-C40C66FF867C}">
                  <a14:compatExt spid="_x0000_s38241"/>
                </a:ext>
                <a:ext uri="{FF2B5EF4-FFF2-40B4-BE49-F238E27FC236}">
                  <a16:creationId xmlns:a16="http://schemas.microsoft.com/office/drawing/2014/main" id="{00000000-0008-0000-0000-00006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29</xdr:row>
          <xdr:rowOff>152400</xdr:rowOff>
        </xdr:from>
        <xdr:to>
          <xdr:col>4</xdr:col>
          <xdr:colOff>9525</xdr:colOff>
          <xdr:row>31</xdr:row>
          <xdr:rowOff>38100</xdr:rowOff>
        </xdr:to>
        <xdr:sp macro="" textlink="">
          <xdr:nvSpPr>
            <xdr:cNvPr id="38242" name="PositionCheckBox27" hidden="1">
              <a:extLst>
                <a:ext uri="{63B3BB69-23CF-44E3-9099-C40C66FF867C}">
                  <a14:compatExt spid="_x0000_s38242"/>
                </a:ext>
                <a:ext uri="{FF2B5EF4-FFF2-40B4-BE49-F238E27FC236}">
                  <a16:creationId xmlns:a16="http://schemas.microsoft.com/office/drawing/2014/main" id="{00000000-0008-0000-0000-00006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30</xdr:row>
          <xdr:rowOff>152400</xdr:rowOff>
        </xdr:from>
        <xdr:to>
          <xdr:col>4</xdr:col>
          <xdr:colOff>9525</xdr:colOff>
          <xdr:row>32</xdr:row>
          <xdr:rowOff>38100</xdr:rowOff>
        </xdr:to>
        <xdr:sp macro="" textlink="">
          <xdr:nvSpPr>
            <xdr:cNvPr id="38243" name="PositionCheckBox28" hidden="1">
              <a:extLst>
                <a:ext uri="{63B3BB69-23CF-44E3-9099-C40C66FF867C}">
                  <a14:compatExt spid="_x0000_s38243"/>
                </a:ext>
                <a:ext uri="{FF2B5EF4-FFF2-40B4-BE49-F238E27FC236}">
                  <a16:creationId xmlns:a16="http://schemas.microsoft.com/office/drawing/2014/main" id="{00000000-0008-0000-0000-00006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31</xdr:row>
          <xdr:rowOff>142875</xdr:rowOff>
        </xdr:from>
        <xdr:to>
          <xdr:col>4</xdr:col>
          <xdr:colOff>9525</xdr:colOff>
          <xdr:row>33</xdr:row>
          <xdr:rowOff>28575</xdr:rowOff>
        </xdr:to>
        <xdr:sp macro="" textlink="">
          <xdr:nvSpPr>
            <xdr:cNvPr id="38244" name="PositionCheckBox29" hidden="1">
              <a:extLst>
                <a:ext uri="{63B3BB69-23CF-44E3-9099-C40C66FF867C}">
                  <a14:compatExt spid="_x0000_s38244"/>
                </a:ext>
                <a:ext uri="{FF2B5EF4-FFF2-40B4-BE49-F238E27FC236}">
                  <a16:creationId xmlns:a16="http://schemas.microsoft.com/office/drawing/2014/main" id="{00000000-0008-0000-0000-00006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32</xdr:row>
          <xdr:rowOff>152400</xdr:rowOff>
        </xdr:from>
        <xdr:to>
          <xdr:col>4</xdr:col>
          <xdr:colOff>9525</xdr:colOff>
          <xdr:row>34</xdr:row>
          <xdr:rowOff>38100</xdr:rowOff>
        </xdr:to>
        <xdr:sp macro="" textlink="">
          <xdr:nvSpPr>
            <xdr:cNvPr id="38245" name="PositionCheckBox30" hidden="1">
              <a:extLst>
                <a:ext uri="{63B3BB69-23CF-44E3-9099-C40C66FF867C}">
                  <a14:compatExt spid="_x0000_s38245"/>
                </a:ext>
                <a:ext uri="{FF2B5EF4-FFF2-40B4-BE49-F238E27FC236}">
                  <a16:creationId xmlns:a16="http://schemas.microsoft.com/office/drawing/2014/main" id="{00000000-0008-0000-0000-00006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33</xdr:row>
          <xdr:rowOff>152400</xdr:rowOff>
        </xdr:from>
        <xdr:to>
          <xdr:col>4</xdr:col>
          <xdr:colOff>9525</xdr:colOff>
          <xdr:row>35</xdr:row>
          <xdr:rowOff>38100</xdr:rowOff>
        </xdr:to>
        <xdr:sp macro="" textlink="">
          <xdr:nvSpPr>
            <xdr:cNvPr id="38246" name="PositionCheckBox31" hidden="1">
              <a:extLst>
                <a:ext uri="{63B3BB69-23CF-44E3-9099-C40C66FF867C}">
                  <a14:compatExt spid="_x0000_s38246"/>
                </a:ext>
                <a:ext uri="{FF2B5EF4-FFF2-40B4-BE49-F238E27FC236}">
                  <a16:creationId xmlns:a16="http://schemas.microsoft.com/office/drawing/2014/main" id="{00000000-0008-0000-0000-00006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34</xdr:row>
          <xdr:rowOff>152400</xdr:rowOff>
        </xdr:from>
        <xdr:to>
          <xdr:col>4</xdr:col>
          <xdr:colOff>9525</xdr:colOff>
          <xdr:row>36</xdr:row>
          <xdr:rowOff>38100</xdr:rowOff>
        </xdr:to>
        <xdr:sp macro="" textlink="">
          <xdr:nvSpPr>
            <xdr:cNvPr id="38247" name="PositionCheckBox32" hidden="1">
              <a:extLst>
                <a:ext uri="{63B3BB69-23CF-44E3-9099-C40C66FF867C}">
                  <a14:compatExt spid="_x0000_s38247"/>
                </a:ext>
                <a:ext uri="{FF2B5EF4-FFF2-40B4-BE49-F238E27FC236}">
                  <a16:creationId xmlns:a16="http://schemas.microsoft.com/office/drawing/2014/main" id="{00000000-0008-0000-0000-00006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35</xdr:row>
          <xdr:rowOff>142875</xdr:rowOff>
        </xdr:from>
        <xdr:to>
          <xdr:col>4</xdr:col>
          <xdr:colOff>9525</xdr:colOff>
          <xdr:row>37</xdr:row>
          <xdr:rowOff>28575</xdr:rowOff>
        </xdr:to>
        <xdr:sp macro="" textlink="">
          <xdr:nvSpPr>
            <xdr:cNvPr id="38248" name="PositionCheckBox33" hidden="1">
              <a:extLst>
                <a:ext uri="{63B3BB69-23CF-44E3-9099-C40C66FF867C}">
                  <a14:compatExt spid="_x0000_s38248"/>
                </a:ext>
                <a:ext uri="{FF2B5EF4-FFF2-40B4-BE49-F238E27FC236}">
                  <a16:creationId xmlns:a16="http://schemas.microsoft.com/office/drawing/2014/main" id="{00000000-0008-0000-0000-00006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36</xdr:row>
          <xdr:rowOff>152400</xdr:rowOff>
        </xdr:from>
        <xdr:to>
          <xdr:col>4</xdr:col>
          <xdr:colOff>9525</xdr:colOff>
          <xdr:row>38</xdr:row>
          <xdr:rowOff>38100</xdr:rowOff>
        </xdr:to>
        <xdr:sp macro="" textlink="">
          <xdr:nvSpPr>
            <xdr:cNvPr id="38249" name="PositionCheckBox34" hidden="1">
              <a:extLst>
                <a:ext uri="{63B3BB69-23CF-44E3-9099-C40C66FF867C}">
                  <a14:compatExt spid="_x0000_s38249"/>
                </a:ext>
                <a:ext uri="{FF2B5EF4-FFF2-40B4-BE49-F238E27FC236}">
                  <a16:creationId xmlns:a16="http://schemas.microsoft.com/office/drawing/2014/main" id="{00000000-0008-0000-0000-00006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37</xdr:row>
          <xdr:rowOff>152400</xdr:rowOff>
        </xdr:from>
        <xdr:to>
          <xdr:col>4</xdr:col>
          <xdr:colOff>9525</xdr:colOff>
          <xdr:row>39</xdr:row>
          <xdr:rowOff>38100</xdr:rowOff>
        </xdr:to>
        <xdr:sp macro="" textlink="">
          <xdr:nvSpPr>
            <xdr:cNvPr id="38250" name="PositionCheckBox35" hidden="1">
              <a:extLst>
                <a:ext uri="{63B3BB69-23CF-44E3-9099-C40C66FF867C}">
                  <a14:compatExt spid="_x0000_s38250"/>
                </a:ext>
                <a:ext uri="{FF2B5EF4-FFF2-40B4-BE49-F238E27FC236}">
                  <a16:creationId xmlns:a16="http://schemas.microsoft.com/office/drawing/2014/main" id="{00000000-0008-0000-0000-00006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38</xdr:row>
          <xdr:rowOff>152400</xdr:rowOff>
        </xdr:from>
        <xdr:to>
          <xdr:col>4</xdr:col>
          <xdr:colOff>9525</xdr:colOff>
          <xdr:row>40</xdr:row>
          <xdr:rowOff>38100</xdr:rowOff>
        </xdr:to>
        <xdr:sp macro="" textlink="">
          <xdr:nvSpPr>
            <xdr:cNvPr id="38251" name="PositionCheckBox36" hidden="1">
              <a:extLst>
                <a:ext uri="{63B3BB69-23CF-44E3-9099-C40C66FF867C}">
                  <a14:compatExt spid="_x0000_s38251"/>
                </a:ext>
                <a:ext uri="{FF2B5EF4-FFF2-40B4-BE49-F238E27FC236}">
                  <a16:creationId xmlns:a16="http://schemas.microsoft.com/office/drawing/2014/main" id="{00000000-0008-0000-0000-00006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39</xdr:row>
          <xdr:rowOff>142875</xdr:rowOff>
        </xdr:from>
        <xdr:to>
          <xdr:col>4</xdr:col>
          <xdr:colOff>9525</xdr:colOff>
          <xdr:row>41</xdr:row>
          <xdr:rowOff>28575</xdr:rowOff>
        </xdr:to>
        <xdr:sp macro="" textlink="">
          <xdr:nvSpPr>
            <xdr:cNvPr id="38252" name="PositionCheckBox37" hidden="1">
              <a:extLst>
                <a:ext uri="{63B3BB69-23CF-44E3-9099-C40C66FF867C}">
                  <a14:compatExt spid="_x0000_s38252"/>
                </a:ext>
                <a:ext uri="{FF2B5EF4-FFF2-40B4-BE49-F238E27FC236}">
                  <a16:creationId xmlns:a16="http://schemas.microsoft.com/office/drawing/2014/main" id="{00000000-0008-0000-0000-00006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40</xdr:row>
          <xdr:rowOff>152400</xdr:rowOff>
        </xdr:from>
        <xdr:to>
          <xdr:col>4</xdr:col>
          <xdr:colOff>9525</xdr:colOff>
          <xdr:row>42</xdr:row>
          <xdr:rowOff>38100</xdr:rowOff>
        </xdr:to>
        <xdr:sp macro="" textlink="">
          <xdr:nvSpPr>
            <xdr:cNvPr id="38253" name="PositionCheckBox38" hidden="1">
              <a:extLst>
                <a:ext uri="{63B3BB69-23CF-44E3-9099-C40C66FF867C}">
                  <a14:compatExt spid="_x0000_s38253"/>
                </a:ext>
                <a:ext uri="{FF2B5EF4-FFF2-40B4-BE49-F238E27FC236}">
                  <a16:creationId xmlns:a16="http://schemas.microsoft.com/office/drawing/2014/main" id="{00000000-0008-0000-0000-00006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41</xdr:row>
          <xdr:rowOff>152400</xdr:rowOff>
        </xdr:from>
        <xdr:to>
          <xdr:col>4</xdr:col>
          <xdr:colOff>9525</xdr:colOff>
          <xdr:row>43</xdr:row>
          <xdr:rowOff>38100</xdr:rowOff>
        </xdr:to>
        <xdr:sp macro="" textlink="">
          <xdr:nvSpPr>
            <xdr:cNvPr id="38254" name="PositionCheckBox39" hidden="1">
              <a:extLst>
                <a:ext uri="{63B3BB69-23CF-44E3-9099-C40C66FF867C}">
                  <a14:compatExt spid="_x0000_s38254"/>
                </a:ext>
                <a:ext uri="{FF2B5EF4-FFF2-40B4-BE49-F238E27FC236}">
                  <a16:creationId xmlns:a16="http://schemas.microsoft.com/office/drawing/2014/main" id="{00000000-0008-0000-0000-00006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42</xdr:row>
          <xdr:rowOff>152400</xdr:rowOff>
        </xdr:from>
        <xdr:to>
          <xdr:col>4</xdr:col>
          <xdr:colOff>9525</xdr:colOff>
          <xdr:row>44</xdr:row>
          <xdr:rowOff>38100</xdr:rowOff>
        </xdr:to>
        <xdr:sp macro="" textlink="">
          <xdr:nvSpPr>
            <xdr:cNvPr id="38255" name="PositionCheckBox40" hidden="1">
              <a:extLst>
                <a:ext uri="{63B3BB69-23CF-44E3-9099-C40C66FF867C}">
                  <a14:compatExt spid="_x0000_s38255"/>
                </a:ext>
                <a:ext uri="{FF2B5EF4-FFF2-40B4-BE49-F238E27FC236}">
                  <a16:creationId xmlns:a16="http://schemas.microsoft.com/office/drawing/2014/main" id="{00000000-0008-0000-0000-00006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43</xdr:row>
          <xdr:rowOff>142875</xdr:rowOff>
        </xdr:from>
        <xdr:to>
          <xdr:col>4</xdr:col>
          <xdr:colOff>9525</xdr:colOff>
          <xdr:row>45</xdr:row>
          <xdr:rowOff>28575</xdr:rowOff>
        </xdr:to>
        <xdr:sp macro="" textlink="">
          <xdr:nvSpPr>
            <xdr:cNvPr id="38256" name="PositionCheckBox41" hidden="1">
              <a:extLst>
                <a:ext uri="{63B3BB69-23CF-44E3-9099-C40C66FF867C}">
                  <a14:compatExt spid="_x0000_s38256"/>
                </a:ext>
                <a:ext uri="{FF2B5EF4-FFF2-40B4-BE49-F238E27FC236}">
                  <a16:creationId xmlns:a16="http://schemas.microsoft.com/office/drawing/2014/main" id="{00000000-0008-0000-0000-00007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44</xdr:row>
          <xdr:rowOff>152400</xdr:rowOff>
        </xdr:from>
        <xdr:to>
          <xdr:col>4</xdr:col>
          <xdr:colOff>9525</xdr:colOff>
          <xdr:row>46</xdr:row>
          <xdr:rowOff>38100</xdr:rowOff>
        </xdr:to>
        <xdr:sp macro="" textlink="">
          <xdr:nvSpPr>
            <xdr:cNvPr id="38257" name="PositionCheckBox42" hidden="1">
              <a:extLst>
                <a:ext uri="{63B3BB69-23CF-44E3-9099-C40C66FF867C}">
                  <a14:compatExt spid="_x0000_s38257"/>
                </a:ext>
                <a:ext uri="{FF2B5EF4-FFF2-40B4-BE49-F238E27FC236}">
                  <a16:creationId xmlns:a16="http://schemas.microsoft.com/office/drawing/2014/main" id="{00000000-0008-0000-0000-00007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45</xdr:row>
          <xdr:rowOff>152400</xdr:rowOff>
        </xdr:from>
        <xdr:to>
          <xdr:col>4</xdr:col>
          <xdr:colOff>9525</xdr:colOff>
          <xdr:row>47</xdr:row>
          <xdr:rowOff>38100</xdr:rowOff>
        </xdr:to>
        <xdr:sp macro="" textlink="">
          <xdr:nvSpPr>
            <xdr:cNvPr id="38258" name="PositionCheckBox43" hidden="1">
              <a:extLst>
                <a:ext uri="{63B3BB69-23CF-44E3-9099-C40C66FF867C}">
                  <a14:compatExt spid="_x0000_s38258"/>
                </a:ext>
                <a:ext uri="{FF2B5EF4-FFF2-40B4-BE49-F238E27FC236}">
                  <a16:creationId xmlns:a16="http://schemas.microsoft.com/office/drawing/2014/main" id="{00000000-0008-0000-0000-00007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46</xdr:row>
          <xdr:rowOff>152400</xdr:rowOff>
        </xdr:from>
        <xdr:to>
          <xdr:col>4</xdr:col>
          <xdr:colOff>9525</xdr:colOff>
          <xdr:row>48</xdr:row>
          <xdr:rowOff>38100</xdr:rowOff>
        </xdr:to>
        <xdr:sp macro="" textlink="">
          <xdr:nvSpPr>
            <xdr:cNvPr id="38259" name="PositionCheckBox44" hidden="1">
              <a:extLst>
                <a:ext uri="{63B3BB69-23CF-44E3-9099-C40C66FF867C}">
                  <a14:compatExt spid="_x0000_s38259"/>
                </a:ext>
                <a:ext uri="{FF2B5EF4-FFF2-40B4-BE49-F238E27FC236}">
                  <a16:creationId xmlns:a16="http://schemas.microsoft.com/office/drawing/2014/main" id="{00000000-0008-0000-0000-00007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47</xdr:row>
          <xdr:rowOff>142875</xdr:rowOff>
        </xdr:from>
        <xdr:to>
          <xdr:col>4</xdr:col>
          <xdr:colOff>9525</xdr:colOff>
          <xdr:row>49</xdr:row>
          <xdr:rowOff>28575</xdr:rowOff>
        </xdr:to>
        <xdr:sp macro="" textlink="">
          <xdr:nvSpPr>
            <xdr:cNvPr id="38260" name="PositionCheckBox45" hidden="1">
              <a:extLst>
                <a:ext uri="{63B3BB69-23CF-44E3-9099-C40C66FF867C}">
                  <a14:compatExt spid="_x0000_s38260"/>
                </a:ext>
                <a:ext uri="{FF2B5EF4-FFF2-40B4-BE49-F238E27FC236}">
                  <a16:creationId xmlns:a16="http://schemas.microsoft.com/office/drawing/2014/main" id="{00000000-0008-0000-0000-00007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48</xdr:row>
          <xdr:rowOff>152400</xdr:rowOff>
        </xdr:from>
        <xdr:to>
          <xdr:col>4</xdr:col>
          <xdr:colOff>9525</xdr:colOff>
          <xdr:row>50</xdr:row>
          <xdr:rowOff>38100</xdr:rowOff>
        </xdr:to>
        <xdr:sp macro="" textlink="">
          <xdr:nvSpPr>
            <xdr:cNvPr id="38261" name="PositionCheckBox46" hidden="1">
              <a:extLst>
                <a:ext uri="{63B3BB69-23CF-44E3-9099-C40C66FF867C}">
                  <a14:compatExt spid="_x0000_s38261"/>
                </a:ext>
                <a:ext uri="{FF2B5EF4-FFF2-40B4-BE49-F238E27FC236}">
                  <a16:creationId xmlns:a16="http://schemas.microsoft.com/office/drawing/2014/main" id="{00000000-0008-0000-0000-00007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49</xdr:row>
          <xdr:rowOff>152400</xdr:rowOff>
        </xdr:from>
        <xdr:to>
          <xdr:col>4</xdr:col>
          <xdr:colOff>9525</xdr:colOff>
          <xdr:row>51</xdr:row>
          <xdr:rowOff>38100</xdr:rowOff>
        </xdr:to>
        <xdr:sp macro="" textlink="">
          <xdr:nvSpPr>
            <xdr:cNvPr id="38262" name="PositionCheckBox47" hidden="1">
              <a:extLst>
                <a:ext uri="{63B3BB69-23CF-44E3-9099-C40C66FF867C}">
                  <a14:compatExt spid="_x0000_s38262"/>
                </a:ext>
                <a:ext uri="{FF2B5EF4-FFF2-40B4-BE49-F238E27FC236}">
                  <a16:creationId xmlns:a16="http://schemas.microsoft.com/office/drawing/2014/main" id="{00000000-0008-0000-0000-00007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50</xdr:row>
          <xdr:rowOff>152400</xdr:rowOff>
        </xdr:from>
        <xdr:to>
          <xdr:col>4</xdr:col>
          <xdr:colOff>9525</xdr:colOff>
          <xdr:row>52</xdr:row>
          <xdr:rowOff>38100</xdr:rowOff>
        </xdr:to>
        <xdr:sp macro="" textlink="">
          <xdr:nvSpPr>
            <xdr:cNvPr id="38263" name="PositionCheckBox48" hidden="1">
              <a:extLst>
                <a:ext uri="{63B3BB69-23CF-44E3-9099-C40C66FF867C}">
                  <a14:compatExt spid="_x0000_s38263"/>
                </a:ext>
                <a:ext uri="{FF2B5EF4-FFF2-40B4-BE49-F238E27FC236}">
                  <a16:creationId xmlns:a16="http://schemas.microsoft.com/office/drawing/2014/main" id="{00000000-0008-0000-0000-00007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51</xdr:row>
          <xdr:rowOff>142875</xdr:rowOff>
        </xdr:from>
        <xdr:to>
          <xdr:col>4</xdr:col>
          <xdr:colOff>9525</xdr:colOff>
          <xdr:row>53</xdr:row>
          <xdr:rowOff>28575</xdr:rowOff>
        </xdr:to>
        <xdr:sp macro="" textlink="">
          <xdr:nvSpPr>
            <xdr:cNvPr id="38264" name="PositionCheckBox49" hidden="1">
              <a:extLst>
                <a:ext uri="{63B3BB69-23CF-44E3-9099-C40C66FF867C}">
                  <a14:compatExt spid="_x0000_s38264"/>
                </a:ext>
                <a:ext uri="{FF2B5EF4-FFF2-40B4-BE49-F238E27FC236}">
                  <a16:creationId xmlns:a16="http://schemas.microsoft.com/office/drawing/2014/main" id="{00000000-0008-0000-0000-00007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52</xdr:row>
          <xdr:rowOff>152400</xdr:rowOff>
        </xdr:from>
        <xdr:to>
          <xdr:col>4</xdr:col>
          <xdr:colOff>9525</xdr:colOff>
          <xdr:row>54</xdr:row>
          <xdr:rowOff>38100</xdr:rowOff>
        </xdr:to>
        <xdr:sp macro="" textlink="">
          <xdr:nvSpPr>
            <xdr:cNvPr id="38265" name="PositionCheckBox50" hidden="1">
              <a:extLst>
                <a:ext uri="{63B3BB69-23CF-44E3-9099-C40C66FF867C}">
                  <a14:compatExt spid="_x0000_s38265"/>
                </a:ext>
                <a:ext uri="{FF2B5EF4-FFF2-40B4-BE49-F238E27FC236}">
                  <a16:creationId xmlns:a16="http://schemas.microsoft.com/office/drawing/2014/main" id="{00000000-0008-0000-0000-00007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53</xdr:row>
          <xdr:rowOff>152400</xdr:rowOff>
        </xdr:from>
        <xdr:to>
          <xdr:col>4</xdr:col>
          <xdr:colOff>9525</xdr:colOff>
          <xdr:row>55</xdr:row>
          <xdr:rowOff>38100</xdr:rowOff>
        </xdr:to>
        <xdr:sp macro="" textlink="">
          <xdr:nvSpPr>
            <xdr:cNvPr id="38266" name="PositionCheckBox51" hidden="1">
              <a:extLst>
                <a:ext uri="{63B3BB69-23CF-44E3-9099-C40C66FF867C}">
                  <a14:compatExt spid="_x0000_s38266"/>
                </a:ext>
                <a:ext uri="{FF2B5EF4-FFF2-40B4-BE49-F238E27FC236}">
                  <a16:creationId xmlns:a16="http://schemas.microsoft.com/office/drawing/2014/main" id="{00000000-0008-0000-0000-00007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54</xdr:row>
          <xdr:rowOff>152400</xdr:rowOff>
        </xdr:from>
        <xdr:to>
          <xdr:col>4</xdr:col>
          <xdr:colOff>9525</xdr:colOff>
          <xdr:row>56</xdr:row>
          <xdr:rowOff>38100</xdr:rowOff>
        </xdr:to>
        <xdr:sp macro="" textlink="">
          <xdr:nvSpPr>
            <xdr:cNvPr id="38267" name="PositionCheckBox52" hidden="1">
              <a:extLst>
                <a:ext uri="{63B3BB69-23CF-44E3-9099-C40C66FF867C}">
                  <a14:compatExt spid="_x0000_s38267"/>
                </a:ext>
                <a:ext uri="{FF2B5EF4-FFF2-40B4-BE49-F238E27FC236}">
                  <a16:creationId xmlns:a16="http://schemas.microsoft.com/office/drawing/2014/main" id="{00000000-0008-0000-0000-00007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55</xdr:row>
          <xdr:rowOff>142875</xdr:rowOff>
        </xdr:from>
        <xdr:to>
          <xdr:col>4</xdr:col>
          <xdr:colOff>9525</xdr:colOff>
          <xdr:row>57</xdr:row>
          <xdr:rowOff>28575</xdr:rowOff>
        </xdr:to>
        <xdr:sp macro="" textlink="">
          <xdr:nvSpPr>
            <xdr:cNvPr id="38268" name="PositionCheckBox53" hidden="1">
              <a:extLst>
                <a:ext uri="{63B3BB69-23CF-44E3-9099-C40C66FF867C}">
                  <a14:compatExt spid="_x0000_s38268"/>
                </a:ext>
                <a:ext uri="{FF2B5EF4-FFF2-40B4-BE49-F238E27FC236}">
                  <a16:creationId xmlns:a16="http://schemas.microsoft.com/office/drawing/2014/main" id="{00000000-0008-0000-0000-00007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56</xdr:row>
          <xdr:rowOff>152400</xdr:rowOff>
        </xdr:from>
        <xdr:to>
          <xdr:col>4</xdr:col>
          <xdr:colOff>9525</xdr:colOff>
          <xdr:row>58</xdr:row>
          <xdr:rowOff>38100</xdr:rowOff>
        </xdr:to>
        <xdr:sp macro="" textlink="">
          <xdr:nvSpPr>
            <xdr:cNvPr id="38269" name="PositionCheckBox54" hidden="1">
              <a:extLst>
                <a:ext uri="{63B3BB69-23CF-44E3-9099-C40C66FF867C}">
                  <a14:compatExt spid="_x0000_s38269"/>
                </a:ext>
                <a:ext uri="{FF2B5EF4-FFF2-40B4-BE49-F238E27FC236}">
                  <a16:creationId xmlns:a16="http://schemas.microsoft.com/office/drawing/2014/main" id="{00000000-0008-0000-0000-00007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57</xdr:row>
          <xdr:rowOff>152400</xdr:rowOff>
        </xdr:from>
        <xdr:to>
          <xdr:col>4</xdr:col>
          <xdr:colOff>9525</xdr:colOff>
          <xdr:row>59</xdr:row>
          <xdr:rowOff>38100</xdr:rowOff>
        </xdr:to>
        <xdr:sp macro="" textlink="">
          <xdr:nvSpPr>
            <xdr:cNvPr id="38270" name="PositionCheckBox55" hidden="1">
              <a:extLst>
                <a:ext uri="{63B3BB69-23CF-44E3-9099-C40C66FF867C}">
                  <a14:compatExt spid="_x0000_s38270"/>
                </a:ext>
                <a:ext uri="{FF2B5EF4-FFF2-40B4-BE49-F238E27FC236}">
                  <a16:creationId xmlns:a16="http://schemas.microsoft.com/office/drawing/2014/main" id="{00000000-0008-0000-0000-00007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58</xdr:row>
          <xdr:rowOff>152400</xdr:rowOff>
        </xdr:from>
        <xdr:to>
          <xdr:col>4</xdr:col>
          <xdr:colOff>9525</xdr:colOff>
          <xdr:row>60</xdr:row>
          <xdr:rowOff>38100</xdr:rowOff>
        </xdr:to>
        <xdr:sp macro="" textlink="">
          <xdr:nvSpPr>
            <xdr:cNvPr id="38271" name="PositionCheckBox56" hidden="1">
              <a:extLst>
                <a:ext uri="{63B3BB69-23CF-44E3-9099-C40C66FF867C}">
                  <a14:compatExt spid="_x0000_s38271"/>
                </a:ext>
                <a:ext uri="{FF2B5EF4-FFF2-40B4-BE49-F238E27FC236}">
                  <a16:creationId xmlns:a16="http://schemas.microsoft.com/office/drawing/2014/main" id="{00000000-0008-0000-0000-00007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59</xdr:row>
          <xdr:rowOff>142875</xdr:rowOff>
        </xdr:from>
        <xdr:to>
          <xdr:col>4</xdr:col>
          <xdr:colOff>9525</xdr:colOff>
          <xdr:row>61</xdr:row>
          <xdr:rowOff>28575</xdr:rowOff>
        </xdr:to>
        <xdr:sp macro="" textlink="">
          <xdr:nvSpPr>
            <xdr:cNvPr id="38272" name="PositionCheckBox57" hidden="1">
              <a:extLst>
                <a:ext uri="{63B3BB69-23CF-44E3-9099-C40C66FF867C}">
                  <a14:compatExt spid="_x0000_s38272"/>
                </a:ext>
                <a:ext uri="{FF2B5EF4-FFF2-40B4-BE49-F238E27FC236}">
                  <a16:creationId xmlns:a16="http://schemas.microsoft.com/office/drawing/2014/main" id="{00000000-0008-0000-0000-00008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60</xdr:row>
          <xdr:rowOff>152400</xdr:rowOff>
        </xdr:from>
        <xdr:to>
          <xdr:col>4</xdr:col>
          <xdr:colOff>9525</xdr:colOff>
          <xdr:row>62</xdr:row>
          <xdr:rowOff>38100</xdr:rowOff>
        </xdr:to>
        <xdr:sp macro="" textlink="">
          <xdr:nvSpPr>
            <xdr:cNvPr id="38273" name="PositionCheckBox58" hidden="1">
              <a:extLst>
                <a:ext uri="{63B3BB69-23CF-44E3-9099-C40C66FF867C}">
                  <a14:compatExt spid="_x0000_s38273"/>
                </a:ext>
                <a:ext uri="{FF2B5EF4-FFF2-40B4-BE49-F238E27FC236}">
                  <a16:creationId xmlns:a16="http://schemas.microsoft.com/office/drawing/2014/main" id="{00000000-0008-0000-0000-00008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61</xdr:row>
          <xdr:rowOff>152400</xdr:rowOff>
        </xdr:from>
        <xdr:to>
          <xdr:col>4</xdr:col>
          <xdr:colOff>9525</xdr:colOff>
          <xdr:row>63</xdr:row>
          <xdr:rowOff>38100</xdr:rowOff>
        </xdr:to>
        <xdr:sp macro="" textlink="">
          <xdr:nvSpPr>
            <xdr:cNvPr id="38274" name="PositionCheckBox59" hidden="1">
              <a:extLst>
                <a:ext uri="{63B3BB69-23CF-44E3-9099-C40C66FF867C}">
                  <a14:compatExt spid="_x0000_s38274"/>
                </a:ext>
                <a:ext uri="{FF2B5EF4-FFF2-40B4-BE49-F238E27FC236}">
                  <a16:creationId xmlns:a16="http://schemas.microsoft.com/office/drawing/2014/main" id="{00000000-0008-0000-0000-00008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62</xdr:row>
          <xdr:rowOff>152400</xdr:rowOff>
        </xdr:from>
        <xdr:to>
          <xdr:col>4</xdr:col>
          <xdr:colOff>9525</xdr:colOff>
          <xdr:row>64</xdr:row>
          <xdr:rowOff>38100</xdr:rowOff>
        </xdr:to>
        <xdr:sp macro="" textlink="">
          <xdr:nvSpPr>
            <xdr:cNvPr id="38275" name="PositionCheckBox60" hidden="1">
              <a:extLst>
                <a:ext uri="{63B3BB69-23CF-44E3-9099-C40C66FF867C}">
                  <a14:compatExt spid="_x0000_s38275"/>
                </a:ext>
                <a:ext uri="{FF2B5EF4-FFF2-40B4-BE49-F238E27FC236}">
                  <a16:creationId xmlns:a16="http://schemas.microsoft.com/office/drawing/2014/main" id="{00000000-0008-0000-0000-00008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63</xdr:row>
          <xdr:rowOff>142875</xdr:rowOff>
        </xdr:from>
        <xdr:to>
          <xdr:col>4</xdr:col>
          <xdr:colOff>9525</xdr:colOff>
          <xdr:row>65</xdr:row>
          <xdr:rowOff>28575</xdr:rowOff>
        </xdr:to>
        <xdr:sp macro="" textlink="">
          <xdr:nvSpPr>
            <xdr:cNvPr id="38276" name="PositionCheckBox61" hidden="1">
              <a:extLst>
                <a:ext uri="{63B3BB69-23CF-44E3-9099-C40C66FF867C}">
                  <a14:compatExt spid="_x0000_s38276"/>
                </a:ext>
                <a:ext uri="{FF2B5EF4-FFF2-40B4-BE49-F238E27FC236}">
                  <a16:creationId xmlns:a16="http://schemas.microsoft.com/office/drawing/2014/main" id="{00000000-0008-0000-0000-00008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64</xdr:row>
          <xdr:rowOff>152400</xdr:rowOff>
        </xdr:from>
        <xdr:to>
          <xdr:col>4</xdr:col>
          <xdr:colOff>9525</xdr:colOff>
          <xdr:row>66</xdr:row>
          <xdr:rowOff>38100</xdr:rowOff>
        </xdr:to>
        <xdr:sp macro="" textlink="">
          <xdr:nvSpPr>
            <xdr:cNvPr id="38277" name="PositionCheckBox62" hidden="1">
              <a:extLst>
                <a:ext uri="{63B3BB69-23CF-44E3-9099-C40C66FF867C}">
                  <a14:compatExt spid="_x0000_s38277"/>
                </a:ext>
                <a:ext uri="{FF2B5EF4-FFF2-40B4-BE49-F238E27FC236}">
                  <a16:creationId xmlns:a16="http://schemas.microsoft.com/office/drawing/2014/main" id="{00000000-0008-0000-0000-00008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65</xdr:row>
          <xdr:rowOff>152400</xdr:rowOff>
        </xdr:from>
        <xdr:to>
          <xdr:col>4</xdr:col>
          <xdr:colOff>9525</xdr:colOff>
          <xdr:row>67</xdr:row>
          <xdr:rowOff>38100</xdr:rowOff>
        </xdr:to>
        <xdr:sp macro="" textlink="">
          <xdr:nvSpPr>
            <xdr:cNvPr id="38278" name="PositionCheckBox63" hidden="1">
              <a:extLst>
                <a:ext uri="{63B3BB69-23CF-44E3-9099-C40C66FF867C}">
                  <a14:compatExt spid="_x0000_s38278"/>
                </a:ext>
                <a:ext uri="{FF2B5EF4-FFF2-40B4-BE49-F238E27FC236}">
                  <a16:creationId xmlns:a16="http://schemas.microsoft.com/office/drawing/2014/main" id="{00000000-0008-0000-0000-00008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66</xdr:row>
          <xdr:rowOff>152400</xdr:rowOff>
        </xdr:from>
        <xdr:to>
          <xdr:col>4</xdr:col>
          <xdr:colOff>9525</xdr:colOff>
          <xdr:row>68</xdr:row>
          <xdr:rowOff>38100</xdr:rowOff>
        </xdr:to>
        <xdr:sp macro="" textlink="">
          <xdr:nvSpPr>
            <xdr:cNvPr id="38279" name="PositionCheckBox64" hidden="1">
              <a:extLst>
                <a:ext uri="{63B3BB69-23CF-44E3-9099-C40C66FF867C}">
                  <a14:compatExt spid="_x0000_s38279"/>
                </a:ext>
                <a:ext uri="{FF2B5EF4-FFF2-40B4-BE49-F238E27FC236}">
                  <a16:creationId xmlns:a16="http://schemas.microsoft.com/office/drawing/2014/main" id="{00000000-0008-0000-0000-00008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67</xdr:row>
          <xdr:rowOff>142875</xdr:rowOff>
        </xdr:from>
        <xdr:to>
          <xdr:col>4</xdr:col>
          <xdr:colOff>9525</xdr:colOff>
          <xdr:row>69</xdr:row>
          <xdr:rowOff>28575</xdr:rowOff>
        </xdr:to>
        <xdr:sp macro="" textlink="">
          <xdr:nvSpPr>
            <xdr:cNvPr id="38280" name="PositionCheckBox65" hidden="1">
              <a:extLst>
                <a:ext uri="{63B3BB69-23CF-44E3-9099-C40C66FF867C}">
                  <a14:compatExt spid="_x0000_s38280"/>
                </a:ext>
                <a:ext uri="{FF2B5EF4-FFF2-40B4-BE49-F238E27FC236}">
                  <a16:creationId xmlns:a16="http://schemas.microsoft.com/office/drawing/2014/main" id="{00000000-0008-0000-0000-00008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68</xdr:row>
          <xdr:rowOff>152400</xdr:rowOff>
        </xdr:from>
        <xdr:to>
          <xdr:col>4</xdr:col>
          <xdr:colOff>9525</xdr:colOff>
          <xdr:row>70</xdr:row>
          <xdr:rowOff>38100</xdr:rowOff>
        </xdr:to>
        <xdr:sp macro="" textlink="">
          <xdr:nvSpPr>
            <xdr:cNvPr id="38281" name="PositionCheckBox66" hidden="1">
              <a:extLst>
                <a:ext uri="{63B3BB69-23CF-44E3-9099-C40C66FF867C}">
                  <a14:compatExt spid="_x0000_s38281"/>
                </a:ext>
                <a:ext uri="{FF2B5EF4-FFF2-40B4-BE49-F238E27FC236}">
                  <a16:creationId xmlns:a16="http://schemas.microsoft.com/office/drawing/2014/main" id="{00000000-0008-0000-0000-00008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69</xdr:row>
          <xdr:rowOff>152400</xdr:rowOff>
        </xdr:from>
        <xdr:to>
          <xdr:col>4</xdr:col>
          <xdr:colOff>9525</xdr:colOff>
          <xdr:row>71</xdr:row>
          <xdr:rowOff>38100</xdr:rowOff>
        </xdr:to>
        <xdr:sp macro="" textlink="">
          <xdr:nvSpPr>
            <xdr:cNvPr id="38282" name="PositionCheckBox67" hidden="1">
              <a:extLst>
                <a:ext uri="{63B3BB69-23CF-44E3-9099-C40C66FF867C}">
                  <a14:compatExt spid="_x0000_s38282"/>
                </a:ext>
                <a:ext uri="{FF2B5EF4-FFF2-40B4-BE49-F238E27FC236}">
                  <a16:creationId xmlns:a16="http://schemas.microsoft.com/office/drawing/2014/main" id="{00000000-0008-0000-0000-00008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70</xdr:row>
          <xdr:rowOff>152400</xdr:rowOff>
        </xdr:from>
        <xdr:to>
          <xdr:col>4</xdr:col>
          <xdr:colOff>9525</xdr:colOff>
          <xdr:row>72</xdr:row>
          <xdr:rowOff>38100</xdr:rowOff>
        </xdr:to>
        <xdr:sp macro="" textlink="">
          <xdr:nvSpPr>
            <xdr:cNvPr id="38283" name="PositionCheckBox68" hidden="1">
              <a:extLst>
                <a:ext uri="{63B3BB69-23CF-44E3-9099-C40C66FF867C}">
                  <a14:compatExt spid="_x0000_s38283"/>
                </a:ext>
                <a:ext uri="{FF2B5EF4-FFF2-40B4-BE49-F238E27FC236}">
                  <a16:creationId xmlns:a16="http://schemas.microsoft.com/office/drawing/2014/main" id="{00000000-0008-0000-0000-00008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71</xdr:row>
          <xdr:rowOff>142875</xdr:rowOff>
        </xdr:from>
        <xdr:to>
          <xdr:col>4</xdr:col>
          <xdr:colOff>9525</xdr:colOff>
          <xdr:row>73</xdr:row>
          <xdr:rowOff>28575</xdr:rowOff>
        </xdr:to>
        <xdr:sp macro="" textlink="">
          <xdr:nvSpPr>
            <xdr:cNvPr id="38284" name="PositionCheckBox69" hidden="1">
              <a:extLst>
                <a:ext uri="{63B3BB69-23CF-44E3-9099-C40C66FF867C}">
                  <a14:compatExt spid="_x0000_s38284"/>
                </a:ext>
                <a:ext uri="{FF2B5EF4-FFF2-40B4-BE49-F238E27FC236}">
                  <a16:creationId xmlns:a16="http://schemas.microsoft.com/office/drawing/2014/main" id="{00000000-0008-0000-0000-00008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72</xdr:row>
          <xdr:rowOff>152400</xdr:rowOff>
        </xdr:from>
        <xdr:to>
          <xdr:col>4</xdr:col>
          <xdr:colOff>9525</xdr:colOff>
          <xdr:row>74</xdr:row>
          <xdr:rowOff>38100</xdr:rowOff>
        </xdr:to>
        <xdr:sp macro="" textlink="">
          <xdr:nvSpPr>
            <xdr:cNvPr id="38285" name="PositionCheckBox70" hidden="1">
              <a:extLst>
                <a:ext uri="{63B3BB69-23CF-44E3-9099-C40C66FF867C}">
                  <a14:compatExt spid="_x0000_s38285"/>
                </a:ext>
                <a:ext uri="{FF2B5EF4-FFF2-40B4-BE49-F238E27FC236}">
                  <a16:creationId xmlns:a16="http://schemas.microsoft.com/office/drawing/2014/main" id="{00000000-0008-0000-0000-00008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73</xdr:row>
          <xdr:rowOff>152400</xdr:rowOff>
        </xdr:from>
        <xdr:to>
          <xdr:col>4</xdr:col>
          <xdr:colOff>9525</xdr:colOff>
          <xdr:row>75</xdr:row>
          <xdr:rowOff>38100</xdr:rowOff>
        </xdr:to>
        <xdr:sp macro="" textlink="">
          <xdr:nvSpPr>
            <xdr:cNvPr id="38286" name="PositionCheckBox71" hidden="1">
              <a:extLst>
                <a:ext uri="{63B3BB69-23CF-44E3-9099-C40C66FF867C}">
                  <a14:compatExt spid="_x0000_s38286"/>
                </a:ext>
                <a:ext uri="{FF2B5EF4-FFF2-40B4-BE49-F238E27FC236}">
                  <a16:creationId xmlns:a16="http://schemas.microsoft.com/office/drawing/2014/main" id="{00000000-0008-0000-0000-00008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74</xdr:row>
          <xdr:rowOff>152400</xdr:rowOff>
        </xdr:from>
        <xdr:to>
          <xdr:col>4</xdr:col>
          <xdr:colOff>9525</xdr:colOff>
          <xdr:row>76</xdr:row>
          <xdr:rowOff>38100</xdr:rowOff>
        </xdr:to>
        <xdr:sp macro="" textlink="">
          <xdr:nvSpPr>
            <xdr:cNvPr id="38287" name="PositionCheckBox72" hidden="1">
              <a:extLst>
                <a:ext uri="{63B3BB69-23CF-44E3-9099-C40C66FF867C}">
                  <a14:compatExt spid="_x0000_s38287"/>
                </a:ext>
                <a:ext uri="{FF2B5EF4-FFF2-40B4-BE49-F238E27FC236}">
                  <a16:creationId xmlns:a16="http://schemas.microsoft.com/office/drawing/2014/main" id="{00000000-0008-0000-0000-00008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75</xdr:row>
          <xdr:rowOff>142875</xdr:rowOff>
        </xdr:from>
        <xdr:to>
          <xdr:col>4</xdr:col>
          <xdr:colOff>9525</xdr:colOff>
          <xdr:row>77</xdr:row>
          <xdr:rowOff>28575</xdr:rowOff>
        </xdr:to>
        <xdr:sp macro="" textlink="">
          <xdr:nvSpPr>
            <xdr:cNvPr id="38288" name="PositionCheckBox73" hidden="1">
              <a:extLst>
                <a:ext uri="{63B3BB69-23CF-44E3-9099-C40C66FF867C}">
                  <a14:compatExt spid="_x0000_s38288"/>
                </a:ext>
                <a:ext uri="{FF2B5EF4-FFF2-40B4-BE49-F238E27FC236}">
                  <a16:creationId xmlns:a16="http://schemas.microsoft.com/office/drawing/2014/main" id="{00000000-0008-0000-0000-00009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76</xdr:row>
          <xdr:rowOff>152400</xdr:rowOff>
        </xdr:from>
        <xdr:to>
          <xdr:col>4</xdr:col>
          <xdr:colOff>9525</xdr:colOff>
          <xdr:row>78</xdr:row>
          <xdr:rowOff>38100</xdr:rowOff>
        </xdr:to>
        <xdr:sp macro="" textlink="">
          <xdr:nvSpPr>
            <xdr:cNvPr id="38289" name="PositionCheckBox74" hidden="1">
              <a:extLst>
                <a:ext uri="{63B3BB69-23CF-44E3-9099-C40C66FF867C}">
                  <a14:compatExt spid="_x0000_s38289"/>
                </a:ext>
                <a:ext uri="{FF2B5EF4-FFF2-40B4-BE49-F238E27FC236}">
                  <a16:creationId xmlns:a16="http://schemas.microsoft.com/office/drawing/2014/main" id="{00000000-0008-0000-0000-00009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77</xdr:row>
          <xdr:rowOff>152400</xdr:rowOff>
        </xdr:from>
        <xdr:to>
          <xdr:col>4</xdr:col>
          <xdr:colOff>9525</xdr:colOff>
          <xdr:row>79</xdr:row>
          <xdr:rowOff>38100</xdr:rowOff>
        </xdr:to>
        <xdr:sp macro="" textlink="">
          <xdr:nvSpPr>
            <xdr:cNvPr id="38290" name="PositionCheckBox75" hidden="1">
              <a:extLst>
                <a:ext uri="{63B3BB69-23CF-44E3-9099-C40C66FF867C}">
                  <a14:compatExt spid="_x0000_s38290"/>
                </a:ext>
                <a:ext uri="{FF2B5EF4-FFF2-40B4-BE49-F238E27FC236}">
                  <a16:creationId xmlns:a16="http://schemas.microsoft.com/office/drawing/2014/main" id="{00000000-0008-0000-0000-00009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78</xdr:row>
          <xdr:rowOff>152400</xdr:rowOff>
        </xdr:from>
        <xdr:to>
          <xdr:col>4</xdr:col>
          <xdr:colOff>9525</xdr:colOff>
          <xdr:row>80</xdr:row>
          <xdr:rowOff>38100</xdr:rowOff>
        </xdr:to>
        <xdr:sp macro="" textlink="">
          <xdr:nvSpPr>
            <xdr:cNvPr id="38291" name="PositionCheckBox76" hidden="1">
              <a:extLst>
                <a:ext uri="{63B3BB69-23CF-44E3-9099-C40C66FF867C}">
                  <a14:compatExt spid="_x0000_s38291"/>
                </a:ext>
                <a:ext uri="{FF2B5EF4-FFF2-40B4-BE49-F238E27FC236}">
                  <a16:creationId xmlns:a16="http://schemas.microsoft.com/office/drawing/2014/main" id="{00000000-0008-0000-0000-00009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79</xdr:row>
          <xdr:rowOff>142875</xdr:rowOff>
        </xdr:from>
        <xdr:to>
          <xdr:col>4</xdr:col>
          <xdr:colOff>9525</xdr:colOff>
          <xdr:row>81</xdr:row>
          <xdr:rowOff>28575</xdr:rowOff>
        </xdr:to>
        <xdr:sp macro="" textlink="">
          <xdr:nvSpPr>
            <xdr:cNvPr id="38292" name="PositionCheckBox77" hidden="1">
              <a:extLst>
                <a:ext uri="{63B3BB69-23CF-44E3-9099-C40C66FF867C}">
                  <a14:compatExt spid="_x0000_s38292"/>
                </a:ext>
                <a:ext uri="{FF2B5EF4-FFF2-40B4-BE49-F238E27FC236}">
                  <a16:creationId xmlns:a16="http://schemas.microsoft.com/office/drawing/2014/main" id="{00000000-0008-0000-0000-00009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80</xdr:row>
          <xdr:rowOff>152400</xdr:rowOff>
        </xdr:from>
        <xdr:to>
          <xdr:col>4</xdr:col>
          <xdr:colOff>9525</xdr:colOff>
          <xdr:row>82</xdr:row>
          <xdr:rowOff>38100</xdr:rowOff>
        </xdr:to>
        <xdr:sp macro="" textlink="">
          <xdr:nvSpPr>
            <xdr:cNvPr id="38293" name="PositionCheckBox78" hidden="1">
              <a:extLst>
                <a:ext uri="{63B3BB69-23CF-44E3-9099-C40C66FF867C}">
                  <a14:compatExt spid="_x0000_s38293"/>
                </a:ext>
                <a:ext uri="{FF2B5EF4-FFF2-40B4-BE49-F238E27FC236}">
                  <a16:creationId xmlns:a16="http://schemas.microsoft.com/office/drawing/2014/main" id="{00000000-0008-0000-0000-00009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81</xdr:row>
          <xdr:rowOff>152400</xdr:rowOff>
        </xdr:from>
        <xdr:to>
          <xdr:col>4</xdr:col>
          <xdr:colOff>9525</xdr:colOff>
          <xdr:row>83</xdr:row>
          <xdr:rowOff>38100</xdr:rowOff>
        </xdr:to>
        <xdr:sp macro="" textlink="">
          <xdr:nvSpPr>
            <xdr:cNvPr id="38294" name="PositionCheckBox79" hidden="1">
              <a:extLst>
                <a:ext uri="{63B3BB69-23CF-44E3-9099-C40C66FF867C}">
                  <a14:compatExt spid="_x0000_s38294"/>
                </a:ext>
                <a:ext uri="{FF2B5EF4-FFF2-40B4-BE49-F238E27FC236}">
                  <a16:creationId xmlns:a16="http://schemas.microsoft.com/office/drawing/2014/main" id="{00000000-0008-0000-0000-00009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82</xdr:row>
          <xdr:rowOff>152400</xdr:rowOff>
        </xdr:from>
        <xdr:to>
          <xdr:col>4</xdr:col>
          <xdr:colOff>9525</xdr:colOff>
          <xdr:row>84</xdr:row>
          <xdr:rowOff>38100</xdr:rowOff>
        </xdr:to>
        <xdr:sp macro="" textlink="">
          <xdr:nvSpPr>
            <xdr:cNvPr id="38295" name="PositionCheckBox80" hidden="1">
              <a:extLst>
                <a:ext uri="{63B3BB69-23CF-44E3-9099-C40C66FF867C}">
                  <a14:compatExt spid="_x0000_s38295"/>
                </a:ext>
                <a:ext uri="{FF2B5EF4-FFF2-40B4-BE49-F238E27FC236}">
                  <a16:creationId xmlns:a16="http://schemas.microsoft.com/office/drawing/2014/main" id="{00000000-0008-0000-0000-00009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83</xdr:row>
          <xdr:rowOff>142875</xdr:rowOff>
        </xdr:from>
        <xdr:to>
          <xdr:col>4</xdr:col>
          <xdr:colOff>9525</xdr:colOff>
          <xdr:row>85</xdr:row>
          <xdr:rowOff>28575</xdr:rowOff>
        </xdr:to>
        <xdr:sp macro="" textlink="">
          <xdr:nvSpPr>
            <xdr:cNvPr id="38296" name="PositionCheckBox81" hidden="1">
              <a:extLst>
                <a:ext uri="{63B3BB69-23CF-44E3-9099-C40C66FF867C}">
                  <a14:compatExt spid="_x0000_s38296"/>
                </a:ext>
                <a:ext uri="{FF2B5EF4-FFF2-40B4-BE49-F238E27FC236}">
                  <a16:creationId xmlns:a16="http://schemas.microsoft.com/office/drawing/2014/main" id="{00000000-0008-0000-0000-00009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84</xdr:row>
          <xdr:rowOff>152400</xdr:rowOff>
        </xdr:from>
        <xdr:to>
          <xdr:col>4</xdr:col>
          <xdr:colOff>9525</xdr:colOff>
          <xdr:row>86</xdr:row>
          <xdr:rowOff>38100</xdr:rowOff>
        </xdr:to>
        <xdr:sp macro="" textlink="">
          <xdr:nvSpPr>
            <xdr:cNvPr id="38297" name="PositionCheckBox82" hidden="1">
              <a:extLst>
                <a:ext uri="{63B3BB69-23CF-44E3-9099-C40C66FF867C}">
                  <a14:compatExt spid="_x0000_s38297"/>
                </a:ext>
                <a:ext uri="{FF2B5EF4-FFF2-40B4-BE49-F238E27FC236}">
                  <a16:creationId xmlns:a16="http://schemas.microsoft.com/office/drawing/2014/main" id="{00000000-0008-0000-0000-00009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On/Off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86"/>
  <sheetViews>
    <sheetView tabSelected="1" zoomScaleNormal="100" workbookViewId="0">
      <selection activeCell="A66" sqref="A66:XFD66"/>
    </sheetView>
  </sheetViews>
  <sheetFormatPr defaultColWidth="9.1328125" defaultRowHeight="13.15" x14ac:dyDescent="0.4"/>
  <cols>
    <col min="1" max="1" width="14.59765625" style="5" customWidth="1"/>
    <col min="2" max="2" width="10.73046875" style="2" customWidth="1"/>
    <col min="3" max="4" width="9.1328125" style="2"/>
    <col min="5" max="5" width="27.1328125" style="2" bestFit="1" customWidth="1"/>
    <col min="6" max="6" width="9.3984375" style="2" bestFit="1" customWidth="1"/>
    <col min="7" max="8" width="14.3984375" style="2" bestFit="1" customWidth="1"/>
    <col min="9" max="9" width="15" style="2" bestFit="1" customWidth="1"/>
    <col min="10" max="10" width="9.73046875" style="2" bestFit="1" customWidth="1"/>
    <col min="11" max="11" width="18.86328125" style="2" customWidth="1"/>
    <col min="12" max="12" width="12" style="2" bestFit="1" customWidth="1"/>
    <col min="13" max="13" width="9.73046875" style="2" customWidth="1"/>
    <col min="14" max="14" width="6.265625" style="2" customWidth="1"/>
    <col min="15" max="15" width="12.1328125" style="2" bestFit="1" customWidth="1"/>
    <col min="16" max="16" width="22.3984375" style="2" bestFit="1" customWidth="1"/>
    <col min="17" max="17" width="12.59765625" style="2" bestFit="1" customWidth="1"/>
    <col min="18" max="18" width="10.59765625" style="2" customWidth="1"/>
    <col min="19" max="19" width="16.1328125" style="2" bestFit="1" customWidth="1"/>
    <col min="20" max="20" width="9.1328125" style="2"/>
    <col min="21" max="21" width="10.59765625" style="21" bestFit="1" customWidth="1"/>
    <col min="22" max="22" width="9.1328125" style="2"/>
    <col min="23" max="23" width="14.1328125" style="28" bestFit="1" customWidth="1"/>
    <col min="24" max="24" width="13.73046875" style="28" bestFit="1" customWidth="1"/>
    <col min="25" max="25" width="10.73046875" style="28" bestFit="1" customWidth="1"/>
    <col min="26" max="26" width="12.86328125" style="28" bestFit="1" customWidth="1"/>
    <col min="27" max="16384" width="9.1328125" style="2"/>
  </cols>
  <sheetData>
    <row r="1" spans="1:26" s="1" customFormat="1" x14ac:dyDescent="0.4">
      <c r="A1" s="18"/>
      <c r="D1" s="1" t="s">
        <v>283</v>
      </c>
      <c r="E1" s="22">
        <f ca="1">TODAY()</f>
        <v>43543</v>
      </c>
      <c r="G1" s="18" t="s">
        <v>284</v>
      </c>
      <c r="H1" s="25">
        <v>6295000</v>
      </c>
      <c r="K1" s="18"/>
      <c r="U1" s="19"/>
      <c r="W1" s="26"/>
      <c r="X1" s="26"/>
      <c r="Y1" s="26"/>
      <c r="Z1" s="26"/>
    </row>
    <row r="2" spans="1:26" s="1" customFormat="1" x14ac:dyDescent="0.4">
      <c r="U2" s="19" t="e">
        <f ca="1">SUM(U4:U1000)</f>
        <v>#NAME?</v>
      </c>
      <c r="V2" s="19"/>
      <c r="W2" s="26">
        <v>0.11306361691612429</v>
      </c>
      <c r="X2" s="26">
        <v>0.2057680892838761</v>
      </c>
      <c r="Y2" s="26">
        <v>-9.3959809372517892E-4</v>
      </c>
      <c r="Z2" s="26">
        <v>2.098043428117553E-2</v>
      </c>
    </row>
    <row r="3" spans="1:26" s="3" customFormat="1" x14ac:dyDescent="0.4">
      <c r="A3" s="4"/>
      <c r="B3" s="1"/>
      <c r="C3" s="12"/>
      <c r="E3" s="3" t="s">
        <v>0</v>
      </c>
      <c r="F3" s="3" t="s">
        <v>1</v>
      </c>
      <c r="G3" s="3" t="s">
        <v>2</v>
      </c>
      <c r="H3" s="3" t="s">
        <v>3</v>
      </c>
      <c r="I3" s="3" t="s">
        <v>4</v>
      </c>
      <c r="J3" s="3" t="s">
        <v>5</v>
      </c>
      <c r="K3" s="3" t="s">
        <v>6</v>
      </c>
      <c r="L3" s="3" t="s">
        <v>7</v>
      </c>
      <c r="M3" s="3" t="s">
        <v>8</v>
      </c>
      <c r="N3" s="3" t="s">
        <v>9</v>
      </c>
      <c r="O3" s="3" t="s">
        <v>241</v>
      </c>
      <c r="P3" s="3" t="s">
        <v>242</v>
      </c>
      <c r="Q3" s="3" t="s">
        <v>237</v>
      </c>
      <c r="R3" s="3" t="s">
        <v>238</v>
      </c>
      <c r="S3" s="3" t="s">
        <v>277</v>
      </c>
      <c r="T3" s="3" t="s">
        <v>278</v>
      </c>
      <c r="U3" s="20" t="s">
        <v>245</v>
      </c>
      <c r="V3" s="3" t="s">
        <v>274</v>
      </c>
      <c r="W3" s="27" t="s">
        <v>279</v>
      </c>
      <c r="X3" s="27" t="s">
        <v>280</v>
      </c>
      <c r="Y3" s="27" t="s">
        <v>281</v>
      </c>
      <c r="Z3" s="27" t="s">
        <v>282</v>
      </c>
    </row>
    <row r="4" spans="1:26" x14ac:dyDescent="0.4">
      <c r="A4" s="4"/>
      <c r="B4" s="1"/>
      <c r="C4" s="12"/>
      <c r="E4" s="2" t="s">
        <v>10</v>
      </c>
      <c r="F4" s="2" t="s">
        <v>11</v>
      </c>
      <c r="G4" s="2" t="s">
        <v>12</v>
      </c>
      <c r="H4" s="2" t="s">
        <v>13</v>
      </c>
      <c r="I4" s="2">
        <v>33</v>
      </c>
      <c r="J4" s="2" t="s">
        <v>14</v>
      </c>
      <c r="K4" s="2" t="s">
        <v>15</v>
      </c>
      <c r="L4" s="2">
        <v>4.6999998092699995</v>
      </c>
      <c r="M4" s="2" t="s">
        <v>16</v>
      </c>
      <c r="N4" s="2" t="s">
        <v>17</v>
      </c>
      <c r="O4" s="2" t="e">
        <f ca="1">_xll.BDP("ACN US 01/20/17 P92.5 Equity", " BID")</f>
        <v>#NAME?</v>
      </c>
      <c r="P4" s="2" t="e">
        <f ca="1">_xll.BDP("ACN US 01/20/17 P92.5 Equity", " ASK")</f>
        <v>#NAME?</v>
      </c>
      <c r="Q4" s="2" t="e">
        <f ca="1">_xll.BDP("ACN US 01/20/17 P92.5 Equity", " DELTA_MID_RT")</f>
        <v>#NAME?</v>
      </c>
      <c r="R4" s="2" t="e">
        <f ca="1">_xll.BDP("ACN US 01/20/17 P92.5 Equity", " GAMMA_MID_RT")</f>
        <v>#NAME?</v>
      </c>
      <c r="S4" s="2" t="e">
        <f ca="1">_xll.BDP("ACN US 01/20/17 P92.5 Equity", " VEGA_MID_RT")</f>
        <v>#NAME?</v>
      </c>
      <c r="T4" s="2" t="e">
        <f ca="1">_xll.BDP("ACN US 01/20/17 P92.5 Equity", " THETA_MID_RT")</f>
        <v>#NAME?</v>
      </c>
      <c r="U4" s="21" t="e">
        <f ca="1">_xll.BDP("ACN US 01/20/17 P92.5 Equity", " PX_POS_MULT_FACTOR")</f>
        <v>#NAME?</v>
      </c>
      <c r="V4" s="2" t="e">
        <f ca="1">_xll.BDP("ACN US 01/20/17 P92.5 Equity", " OPT_UNDL_PX")</f>
        <v>#NAME?</v>
      </c>
      <c r="W4" s="28">
        <v>-1.4972844987450358E-2</v>
      </c>
      <c r="X4" s="28">
        <v>7.6340854837172361E-4</v>
      </c>
      <c r="Y4" s="28">
        <v>-5.5735663224781568E-6</v>
      </c>
      <c r="Z4" s="28">
        <v>1.8635380460683084E-4</v>
      </c>
    </row>
    <row r="5" spans="1:26" x14ac:dyDescent="0.4">
      <c r="A5" s="4"/>
      <c r="B5" s="1"/>
      <c r="C5" s="12"/>
      <c r="E5" s="2" t="s">
        <v>18</v>
      </c>
      <c r="F5" s="2" t="s">
        <v>11</v>
      </c>
      <c r="G5" s="2" t="s">
        <v>12</v>
      </c>
      <c r="H5" s="2" t="s">
        <v>13</v>
      </c>
      <c r="I5" s="2">
        <v>44</v>
      </c>
      <c r="J5" s="2" t="s">
        <v>14</v>
      </c>
      <c r="K5" s="2" t="s">
        <v>15</v>
      </c>
      <c r="L5" s="2">
        <v>5.5500001907300005</v>
      </c>
      <c r="M5" s="2" t="s">
        <v>16</v>
      </c>
      <c r="N5" s="2" t="s">
        <v>19</v>
      </c>
      <c r="O5" s="2" t="e">
        <f ca="1">_xll.BDP("ADBE US 01/20/17 P75 Equity", " BID")</f>
        <v>#NAME?</v>
      </c>
      <c r="P5" s="2" t="e">
        <f ca="1">_xll.BDP("ADBE US 01/20/17 P75 Equity", " ASK")</f>
        <v>#NAME?</v>
      </c>
      <c r="Q5" s="2" t="e">
        <f ca="1">_xll.BDP("ADBE US 01/20/17 P75 Equity", " DELTA_MID_RT")</f>
        <v>#NAME?</v>
      </c>
      <c r="R5" s="2" t="e">
        <f ca="1">_xll.BDP("ADBE US 01/20/17 P75 Equity", " GAMMA_MID_RT")</f>
        <v>#NAME?</v>
      </c>
      <c r="S5" s="2" t="e">
        <f ca="1">_xll.BDP("ADBE US 01/20/17 P75 Equity", " VEGA_MID_RT")</f>
        <v>#NAME?</v>
      </c>
      <c r="T5" s="2" t="e">
        <f ca="1">_xll.BDP("ADBE US 01/20/17 P75 Equity", " THETA_MID_RT")</f>
        <v>#NAME?</v>
      </c>
      <c r="U5" s="21" t="e">
        <f ca="1">_xll.BDP("ADBE US 01/20/17 P75 Equity", " PX_POS_MULT_FACTOR")</f>
        <v>#NAME?</v>
      </c>
      <c r="V5" s="2" t="e">
        <f ca="1">_xll.BDP("ADBE US 01/20/17 P75 Equity", " OPT_UNDL_PX")</f>
        <v>#NAME?</v>
      </c>
      <c r="W5" s="28">
        <v>-1.1568346231612389E-2</v>
      </c>
      <c r="X5" s="28">
        <v>5.3612562223987283E-4</v>
      </c>
      <c r="Y5" s="28">
        <v>-7.1769976171564726E-6</v>
      </c>
      <c r="Z5" s="28">
        <v>1.7609296266878476E-4</v>
      </c>
    </row>
    <row r="6" spans="1:26" x14ac:dyDescent="0.4">
      <c r="A6" s="15"/>
      <c r="B6" s="16"/>
      <c r="C6" s="17"/>
      <c r="E6" s="2" t="s">
        <v>20</v>
      </c>
      <c r="F6" s="2" t="s">
        <v>11</v>
      </c>
      <c r="G6" s="2" t="s">
        <v>12</v>
      </c>
      <c r="H6" s="2" t="s">
        <v>13</v>
      </c>
      <c r="I6" s="2">
        <v>63</v>
      </c>
      <c r="J6" s="2" t="s">
        <v>21</v>
      </c>
      <c r="K6" s="2" t="s">
        <v>22</v>
      </c>
      <c r="L6" s="2">
        <v>2.71000003815</v>
      </c>
      <c r="M6" s="2" t="s">
        <v>16</v>
      </c>
      <c r="N6" s="2" t="s">
        <v>23</v>
      </c>
      <c r="O6" s="2" t="e">
        <f ca="1">_xll.BDP("AFL US 01/20/17 P55 Equity", " BID")</f>
        <v>#NAME?</v>
      </c>
      <c r="P6" s="2" t="e">
        <f ca="1">_xll.BDP("AFL US 01/20/17 P55 Equity", " ASK")</f>
        <v>#NAME?</v>
      </c>
      <c r="Q6" s="2" t="e">
        <f ca="1">_xll.BDP("AFL US 01/20/17 P55 Equity", " DELTA_MID_RT")</f>
        <v>#NAME?</v>
      </c>
      <c r="R6" s="2" t="e">
        <f ca="1">_xll.BDP("AFL US 01/20/17 P55 Equity", " GAMMA_MID_RT")</f>
        <v>#NAME?</v>
      </c>
      <c r="S6" s="2" t="e">
        <f ca="1">_xll.BDP("AFL US 01/20/17 P55 Equity", " VEGA_MID_RT")</f>
        <v>#NAME?</v>
      </c>
      <c r="T6" s="2" t="e">
        <f ca="1">_xll.BDP("AFL US 01/20/17 P55 Equity", " THETA_MID_RT")</f>
        <v>#NAME?</v>
      </c>
      <c r="U6" s="21" t="e">
        <f ca="1">_xll.BDP("AFL US 01/20/17 P55 Equity", " PX_POS_MULT_FACTOR")</f>
        <v>#NAME?</v>
      </c>
      <c r="V6" s="2" t="e">
        <f ca="1">_xll.BDP("AFL US 01/20/17 P55 Equity", " OPT_UNDL_PX")</f>
        <v>#NAME?</v>
      </c>
      <c r="W6" s="28">
        <v>-1.9341313388721203E-2</v>
      </c>
      <c r="X6" s="28">
        <v>9.9685545512311351E-4</v>
      </c>
      <c r="Y6" s="28">
        <v>-5.9196981731532963E-6</v>
      </c>
      <c r="Z6" s="28">
        <v>2.203568864177919E-4</v>
      </c>
    </row>
    <row r="7" spans="1:26" x14ac:dyDescent="0.4">
      <c r="A7" s="7"/>
      <c r="B7" s="8"/>
      <c r="C7" s="13"/>
      <c r="E7" s="2" t="s">
        <v>24</v>
      </c>
      <c r="F7" s="2" t="s">
        <v>11</v>
      </c>
      <c r="G7" s="2" t="s">
        <v>12</v>
      </c>
      <c r="H7" s="2" t="s">
        <v>13</v>
      </c>
      <c r="I7" s="2">
        <v>76</v>
      </c>
      <c r="J7" s="2" t="s">
        <v>21</v>
      </c>
      <c r="K7" s="2" t="s">
        <v>22</v>
      </c>
      <c r="L7" s="2">
        <v>3.3407900333399998</v>
      </c>
      <c r="M7" s="2" t="s">
        <v>16</v>
      </c>
      <c r="N7" s="2" t="s">
        <v>25</v>
      </c>
      <c r="O7" s="2" t="e">
        <f ca="1">_xll.BDP("AIG US 01/20/17 P52.5 Equity", " BID")</f>
        <v>#NAME?</v>
      </c>
      <c r="P7" s="2" t="e">
        <f ca="1">_xll.BDP("AIG US 01/20/17 P52.5 Equity", " ASK")</f>
        <v>#NAME?</v>
      </c>
      <c r="Q7" s="2" t="e">
        <f ca="1">_xll.BDP("AIG US 01/20/17 P52.5 Equity", " DELTA_MID_RT")</f>
        <v>#NAME?</v>
      </c>
      <c r="R7" s="2" t="e">
        <f ca="1">_xll.BDP("AIG US 01/20/17 P52.5 Equity", " GAMMA_MID_RT")</f>
        <v>#NAME?</v>
      </c>
      <c r="S7" s="2" t="e">
        <f ca="1">_xll.BDP("AIG US 01/20/17 P52.5 Equity", " VEGA_MID_RT")</f>
        <v>#NAME?</v>
      </c>
      <c r="T7" s="2" t="e">
        <f ca="1">_xll.BDP("AIG US 01/20/17 P52.5 Equity", " THETA_MID_RT")</f>
        <v>#NAME?</v>
      </c>
      <c r="U7" s="21" t="e">
        <f ca="1">_xll.BDP("AIG US 01/20/17 P52.5 Equity", " PX_POS_MULT_FACTOR")</f>
        <v>#NAME?</v>
      </c>
      <c r="V7" s="2" t="e">
        <f ca="1">_xll.BDP("AIG US 01/20/17 P52.5 Equity", " OPT_UNDL_PX")</f>
        <v>#NAME?</v>
      </c>
      <c r="W7" s="28">
        <v>-1.6807036359015089E-2</v>
      </c>
      <c r="X7" s="28">
        <v>8.4240932930897529E-4</v>
      </c>
      <c r="Y7" s="28">
        <v>-7.936838760921366E-6</v>
      </c>
      <c r="Z7" s="28">
        <v>2.3017918983320095E-4</v>
      </c>
    </row>
    <row r="8" spans="1:26" x14ac:dyDescent="0.4">
      <c r="A8" s="9" t="s">
        <v>226</v>
      </c>
      <c r="B8" s="8" t="s">
        <v>225</v>
      </c>
      <c r="C8" s="13"/>
      <c r="E8" s="2" t="s">
        <v>26</v>
      </c>
      <c r="F8" s="2" t="s">
        <v>11</v>
      </c>
      <c r="G8" s="2" t="s">
        <v>12</v>
      </c>
      <c r="H8" s="2" t="s">
        <v>13</v>
      </c>
      <c r="I8" s="2">
        <v>20</v>
      </c>
      <c r="J8" s="2" t="s">
        <v>27</v>
      </c>
      <c r="K8" s="2" t="s">
        <v>28</v>
      </c>
      <c r="L8" s="2">
        <v>13.0600004196</v>
      </c>
      <c r="M8" s="2" t="s">
        <v>16</v>
      </c>
      <c r="N8" s="2" t="s">
        <v>29</v>
      </c>
      <c r="O8" s="2" t="e">
        <f ca="1">_xll.BDP("ALXN US 01/20/17 P135 Equity", " BID")</f>
        <v>#NAME?</v>
      </c>
      <c r="P8" s="2" t="e">
        <f ca="1">_xll.BDP("ALXN US 01/20/17 P135 Equity", " ASK")</f>
        <v>#NAME?</v>
      </c>
      <c r="Q8" s="2" t="e">
        <f ca="1">_xll.BDP("ALXN US 01/20/17 P135 Equity", " DELTA_MID_RT")</f>
        <v>#NAME?</v>
      </c>
      <c r="R8" s="2" t="e">
        <f ca="1">_xll.BDP("ALXN US 01/20/17 P135 Equity", " GAMMA_MID_RT")</f>
        <v>#NAME?</v>
      </c>
      <c r="S8" s="2" t="e">
        <f ca="1">_xll.BDP("ALXN US 01/20/17 P135 Equity", " VEGA_MID_RT")</f>
        <v>#NAME?</v>
      </c>
      <c r="T8" s="2" t="e">
        <f ca="1">_xll.BDP("ALXN US 01/20/17 P135 Equity", " THETA_MID_RT")</f>
        <v>#NAME?</v>
      </c>
      <c r="U8" s="21" t="e">
        <f ca="1">_xll.BDP("ALXN US 01/20/17 P135 Equity", " PX_POS_MULT_FACTOR")</f>
        <v>#NAME?</v>
      </c>
      <c r="V8" s="2" t="e">
        <f ca="1">_xll.BDP("ALXN US 01/20/17 P135 Equity", " OPT_UNDL_PX")</f>
        <v>#NAME?</v>
      </c>
      <c r="W8" s="28">
        <v>-9.3450894233518666E-3</v>
      </c>
      <c r="X8" s="28">
        <v>3.2188289118347896E-4</v>
      </c>
      <c r="Y8" s="28">
        <v>-8.1585385226370133E-6</v>
      </c>
      <c r="Z8" s="28">
        <v>1.4852803812549642E-4</v>
      </c>
    </row>
    <row r="9" spans="1:26" x14ac:dyDescent="0.4">
      <c r="A9" s="7"/>
      <c r="B9" s="8"/>
      <c r="C9" s="13"/>
      <c r="E9" s="2" t="s">
        <v>30</v>
      </c>
      <c r="F9" s="2" t="s">
        <v>11</v>
      </c>
      <c r="G9" s="2" t="s">
        <v>12</v>
      </c>
      <c r="H9" s="2" t="s">
        <v>13</v>
      </c>
      <c r="I9" s="2">
        <v>54</v>
      </c>
      <c r="J9" s="2" t="s">
        <v>21</v>
      </c>
      <c r="K9" s="2" t="s">
        <v>22</v>
      </c>
      <c r="L9" s="2">
        <v>5.94074010849</v>
      </c>
      <c r="M9" s="2" t="s">
        <v>16</v>
      </c>
      <c r="N9" s="2" t="s">
        <v>31</v>
      </c>
      <c r="O9" s="2" t="e">
        <f ca="1">_xll.BDP("AMT US 01/20/17 P85 Equity", " BID")</f>
        <v>#NAME?</v>
      </c>
      <c r="P9" s="2" t="e">
        <f ca="1">_xll.BDP("AMT US 01/20/17 P85 Equity", " ASK")</f>
        <v>#NAME?</v>
      </c>
      <c r="Q9" s="2" t="e">
        <f ca="1">_xll.BDP("AMT US 01/20/17 P85 Equity", " DELTA_MID_RT")</f>
        <v>#NAME?</v>
      </c>
      <c r="R9" s="2" t="e">
        <f ca="1">_xll.BDP("AMT US 01/20/17 P85 Equity", " GAMMA_MID_RT")</f>
        <v>#NAME?</v>
      </c>
      <c r="S9" s="2" t="e">
        <f ca="1">_xll.BDP("AMT US 01/20/17 P85 Equity", " VEGA_MID_RT")</f>
        <v>#NAME?</v>
      </c>
      <c r="T9" s="2" t="e">
        <f ca="1">_xll.BDP("AMT US 01/20/17 P85 Equity", " THETA_MID_RT")</f>
        <v>#NAME?</v>
      </c>
      <c r="U9" s="21" t="e">
        <f ca="1">_xll.BDP("AMT US 01/20/17 P85 Equity", " PX_POS_MULT_FACTOR")</f>
        <v>#NAME?</v>
      </c>
      <c r="V9" s="2" t="e">
        <f ca="1">_xll.BDP("AMT US 01/20/17 P85 Equity", " OPT_UNDL_PX")</f>
        <v>#NAME?</v>
      </c>
      <c r="W9" s="28">
        <v>-2.1231910419698172E-2</v>
      </c>
      <c r="X9" s="28">
        <v>1.0408819196187449E-3</v>
      </c>
      <c r="Y9" s="28">
        <v>-9.1684193804606832E-6</v>
      </c>
      <c r="Z9" s="28">
        <v>2.7586065131056392E-4</v>
      </c>
    </row>
    <row r="10" spans="1:26" x14ac:dyDescent="0.4">
      <c r="A10" s="9" t="s">
        <v>227</v>
      </c>
      <c r="B10" s="8"/>
      <c r="C10" s="13"/>
      <c r="E10" s="2" t="s">
        <v>32</v>
      </c>
      <c r="F10" s="2" t="s">
        <v>11</v>
      </c>
      <c r="G10" s="2" t="s">
        <v>12</v>
      </c>
      <c r="H10" s="2" t="s">
        <v>13</v>
      </c>
      <c r="I10" s="2">
        <v>6</v>
      </c>
      <c r="J10" s="2" t="s">
        <v>33</v>
      </c>
      <c r="K10" s="2" t="s">
        <v>34</v>
      </c>
      <c r="L10" s="2">
        <v>42.4667015076</v>
      </c>
      <c r="M10" s="2" t="s">
        <v>16</v>
      </c>
      <c r="N10" s="2" t="s">
        <v>35</v>
      </c>
      <c r="O10" s="2" t="e">
        <f ca="1">_xll.BDP("AMZN US 01/20/17 P490 Equity", " BID")</f>
        <v>#NAME?</v>
      </c>
      <c r="P10" s="2" t="e">
        <f ca="1">_xll.BDP("AMZN US 01/20/17 P490 Equity", " ASK")</f>
        <v>#NAME?</v>
      </c>
      <c r="Q10" s="2" t="e">
        <f ca="1">_xll.BDP("AMZN US 01/20/17 P490 Equity", " DELTA_MID_RT")</f>
        <v>#NAME?</v>
      </c>
      <c r="R10" s="2" t="e">
        <f ca="1">_xll.BDP("AMZN US 01/20/17 P490 Equity", " GAMMA_MID_RT")</f>
        <v>#NAME?</v>
      </c>
      <c r="S10" s="2" t="e">
        <f ca="1">_xll.BDP("AMZN US 01/20/17 P490 Equity", " VEGA_MID_RT")</f>
        <v>#NAME?</v>
      </c>
      <c r="T10" s="2" t="e">
        <f ca="1">_xll.BDP("AMZN US 01/20/17 P490 Equity", " THETA_MID_RT")</f>
        <v>#NAME?</v>
      </c>
      <c r="U10" s="21" t="e">
        <f ca="1">_xll.BDP("AMZN US 01/20/17 P490 Equity", " PX_POS_MULT_FACTOR")</f>
        <v>#NAME?</v>
      </c>
      <c r="V10" s="2" t="e">
        <f ca="1">_xll.BDP("AMZN US 01/20/17 P490 Equity", " OPT_UNDL_PX")</f>
        <v>#NAME?</v>
      </c>
      <c r="W10" s="28">
        <v>-8.8263723717235884E-3</v>
      </c>
      <c r="X10" s="28">
        <v>3.6743479110405084E-4</v>
      </c>
      <c r="Y10" s="28">
        <v>-6.8901350277998418E-6</v>
      </c>
      <c r="Z10" s="28">
        <v>1.4684206513105639E-4</v>
      </c>
    </row>
    <row r="11" spans="1:26" x14ac:dyDescent="0.4">
      <c r="A11" s="7"/>
      <c r="B11" s="8"/>
      <c r="C11" s="13"/>
      <c r="E11" s="2" t="s">
        <v>36</v>
      </c>
      <c r="F11" s="2" t="s">
        <v>11</v>
      </c>
      <c r="G11" s="2" t="s">
        <v>12</v>
      </c>
      <c r="H11" s="2" t="s">
        <v>13</v>
      </c>
      <c r="I11" s="2">
        <v>40</v>
      </c>
      <c r="J11" s="2" t="s">
        <v>37</v>
      </c>
      <c r="K11" s="2" t="s">
        <v>38</v>
      </c>
      <c r="L11" s="2">
        <v>10.566649913799999</v>
      </c>
      <c r="M11" s="2" t="s">
        <v>16</v>
      </c>
      <c r="N11" s="2" t="s">
        <v>39</v>
      </c>
      <c r="O11" s="2" t="e">
        <f ca="1">_xll.BDP("APD US 01/20/17 P125 Equity", " BID")</f>
        <v>#NAME?</v>
      </c>
      <c r="P11" s="2" t="e">
        <f ca="1">_xll.BDP("APD US 01/20/17 P125 Equity", " ASK")</f>
        <v>#NAME?</v>
      </c>
      <c r="Q11" s="2" t="e">
        <f ca="1">_xll.BDP("APD US 01/20/17 P125 Equity", " DELTA_MID_RT")</f>
        <v>#NAME?</v>
      </c>
      <c r="R11" s="2" t="e">
        <f ca="1">_xll.BDP("APD US 01/20/17 P125 Equity", " GAMMA_MID_RT")</f>
        <v>#NAME?</v>
      </c>
      <c r="S11" s="2" t="e">
        <f ca="1">_xll.BDP("APD US 01/20/17 P125 Equity", " VEGA_MID_RT")</f>
        <v>#NAME?</v>
      </c>
      <c r="T11" s="2" t="e">
        <f ca="1">_xll.BDP("APD US 01/20/17 P125 Equity", " THETA_MID_RT")</f>
        <v>#NAME?</v>
      </c>
      <c r="U11" s="21" t="e">
        <f ca="1">_xll.BDP("APD US 01/20/17 P125 Equity", " PX_POS_MULT_FACTOR")</f>
        <v>#NAME?</v>
      </c>
      <c r="V11" s="2" t="e">
        <f ca="1">_xll.BDP("APD US 01/20/17 P125 Equity", " OPT_UNDL_PX")</f>
        <v>#NAME?</v>
      </c>
      <c r="W11" s="28">
        <v>-3.2492590055599686E-2</v>
      </c>
      <c r="X11" s="28">
        <v>1.2617922795869737E-3</v>
      </c>
      <c r="Y11" s="28">
        <v>-1.0124225575853852E-5</v>
      </c>
      <c r="Z11" s="28">
        <v>3.2834757744241457E-4</v>
      </c>
    </row>
    <row r="12" spans="1:26" x14ac:dyDescent="0.4">
      <c r="A12" s="7"/>
      <c r="B12" s="8"/>
      <c r="C12" s="13"/>
      <c r="E12" s="2" t="s">
        <v>40</v>
      </c>
      <c r="F12" s="2" t="s">
        <v>11</v>
      </c>
      <c r="G12" s="2" t="s">
        <v>12</v>
      </c>
      <c r="H12" s="2" t="s">
        <v>13</v>
      </c>
      <c r="I12" s="2">
        <v>111</v>
      </c>
      <c r="J12" s="2" t="s">
        <v>14</v>
      </c>
      <c r="K12" s="2" t="s">
        <v>15</v>
      </c>
      <c r="L12" s="2">
        <v>2.7247700691199999</v>
      </c>
      <c r="M12" s="2" t="s">
        <v>16</v>
      </c>
      <c r="N12" s="2" t="s">
        <v>41</v>
      </c>
      <c r="O12" s="2" t="e">
        <f ca="1">_xll.BDP("ATVI US 01/20/17 P30 Equity", " BID")</f>
        <v>#NAME?</v>
      </c>
      <c r="P12" s="2" t="e">
        <f ca="1">_xll.BDP("ATVI US 01/20/17 P30 Equity", " ASK")</f>
        <v>#NAME?</v>
      </c>
      <c r="Q12" s="2" t="e">
        <f ca="1">_xll.BDP("ATVI US 01/20/17 P30 Equity", " DELTA_MID_RT")</f>
        <v>#NAME?</v>
      </c>
      <c r="R12" s="2" t="e">
        <f ca="1">_xll.BDP("ATVI US 01/20/17 P30 Equity", " GAMMA_MID_RT")</f>
        <v>#NAME?</v>
      </c>
      <c r="S12" s="2" t="e">
        <f ca="1">_xll.BDP("ATVI US 01/20/17 P30 Equity", " VEGA_MID_RT")</f>
        <v>#NAME?</v>
      </c>
      <c r="T12" s="2" t="e">
        <f ca="1">_xll.BDP("ATVI US 01/20/17 P30 Equity", " THETA_MID_RT")</f>
        <v>#NAME?</v>
      </c>
      <c r="U12" s="21" t="e">
        <f ca="1">_xll.BDP("ATVI US 01/20/17 P30 Equity", " PX_POS_MULT_FACTOR")</f>
        <v>#NAME?</v>
      </c>
      <c r="V12" s="2" t="e">
        <f ca="1">_xll.BDP("ATVI US 01/20/17 P30 Equity", " OPT_UNDL_PX")</f>
        <v>#NAME?</v>
      </c>
      <c r="W12" s="28">
        <v>-1.1804896903891976E-2</v>
      </c>
      <c r="X12" s="28">
        <v>4.8260877998411439E-4</v>
      </c>
      <c r="Y12" s="28">
        <v>-7.9542652899126306E-6</v>
      </c>
      <c r="Z12" s="28">
        <v>1.8021498014297063E-4</v>
      </c>
    </row>
    <row r="13" spans="1:26" x14ac:dyDescent="0.4">
      <c r="A13" s="7"/>
      <c r="B13" s="8"/>
      <c r="C13" s="13"/>
      <c r="E13" s="2" t="s">
        <v>42</v>
      </c>
      <c r="F13" s="2" t="s">
        <v>11</v>
      </c>
      <c r="G13" s="2" t="s">
        <v>12</v>
      </c>
      <c r="H13" s="2" t="s">
        <v>13</v>
      </c>
      <c r="I13" s="2">
        <v>24</v>
      </c>
      <c r="J13" s="2" t="s">
        <v>43</v>
      </c>
      <c r="K13" s="2" t="s">
        <v>44</v>
      </c>
      <c r="L13" s="2">
        <v>8.3500003814700001</v>
      </c>
      <c r="M13" s="2" t="s">
        <v>16</v>
      </c>
      <c r="N13" s="2" t="s">
        <v>45</v>
      </c>
      <c r="O13" s="2" t="e">
        <f ca="1">_xll.BDP("BA US 01/20/17 P120 Equity", " BID")</f>
        <v>#NAME?</v>
      </c>
      <c r="P13" s="2" t="e">
        <f ca="1">_xll.BDP("BA US 01/20/17 P120 Equity", " ASK")</f>
        <v>#NAME?</v>
      </c>
      <c r="Q13" s="2" t="e">
        <f ca="1">_xll.BDP("BA US 01/20/17 P120 Equity", " DELTA_MID_RT")</f>
        <v>#NAME?</v>
      </c>
      <c r="R13" s="2" t="e">
        <f ca="1">_xll.BDP("BA US 01/20/17 P120 Equity", " GAMMA_MID_RT")</f>
        <v>#NAME?</v>
      </c>
      <c r="S13" s="2" t="e">
        <f ca="1">_xll.BDP("BA US 01/20/17 P120 Equity", " VEGA_MID_RT")</f>
        <v>#NAME?</v>
      </c>
      <c r="T13" s="2" t="e">
        <f ca="1">_xll.BDP("BA US 01/20/17 P120 Equity", " THETA_MID_RT")</f>
        <v>#NAME?</v>
      </c>
      <c r="U13" s="21" t="e">
        <f ca="1">_xll.BDP("BA US 01/20/17 P120 Equity", " PX_POS_MULT_FACTOR")</f>
        <v>#NAME?</v>
      </c>
      <c r="V13" s="2" t="e">
        <f ca="1">_xll.BDP("BA US 01/20/17 P120 Equity", " OPT_UNDL_PX")</f>
        <v>#NAME?</v>
      </c>
      <c r="W13" s="28">
        <v>-1.1400128921366161E-2</v>
      </c>
      <c r="X13" s="28">
        <v>6.12339316918189E-4</v>
      </c>
      <c r="Y13" s="28">
        <v>-5.522859412231931E-6</v>
      </c>
      <c r="Z13" s="28">
        <v>1.6121213661636217E-4</v>
      </c>
    </row>
    <row r="14" spans="1:26" x14ac:dyDescent="0.4">
      <c r="A14" s="9" t="s">
        <v>236</v>
      </c>
      <c r="B14" s="8"/>
      <c r="C14" s="13"/>
      <c r="E14" s="2" t="s">
        <v>46</v>
      </c>
      <c r="F14" s="2" t="s">
        <v>11</v>
      </c>
      <c r="G14" s="2" t="s">
        <v>12</v>
      </c>
      <c r="H14" s="2" t="s">
        <v>13</v>
      </c>
      <c r="I14" s="2">
        <v>184</v>
      </c>
      <c r="J14" s="2" t="s">
        <v>21</v>
      </c>
      <c r="K14" s="2" t="s">
        <v>22</v>
      </c>
      <c r="L14" s="2">
        <v>1.1972800493200002</v>
      </c>
      <c r="M14" s="2" t="s">
        <v>16</v>
      </c>
      <c r="N14" s="2" t="s">
        <v>47</v>
      </c>
      <c r="O14" s="2" t="e">
        <f ca="1">_xll.BDP("BAC US 01/20/17 P15 Equity", " BID")</f>
        <v>#NAME?</v>
      </c>
      <c r="P14" s="2" t="e">
        <f ca="1">_xll.BDP("BAC US 01/20/17 P15 Equity", " ASK")</f>
        <v>#NAME?</v>
      </c>
      <c r="Q14" s="2" t="e">
        <f ca="1">_xll.BDP("BAC US 01/20/17 P15 Equity", " DELTA_MID_RT")</f>
        <v>#NAME?</v>
      </c>
      <c r="R14" s="2" t="e">
        <f ca="1">_xll.BDP("BAC US 01/20/17 P15 Equity", " GAMMA_MID_RT")</f>
        <v>#NAME?</v>
      </c>
      <c r="S14" s="2" t="e">
        <f ca="1">_xll.BDP("BAC US 01/20/17 P15 Equity", " VEGA_MID_RT")</f>
        <v>#NAME?</v>
      </c>
      <c r="T14" s="2" t="e">
        <f ca="1">_xll.BDP("BAC US 01/20/17 P15 Equity", " THETA_MID_RT")</f>
        <v>#NAME?</v>
      </c>
      <c r="U14" s="21" t="e">
        <f ca="1">_xll.BDP("BAC US 01/20/17 P15 Equity", " PX_POS_MULT_FACTOR")</f>
        <v>#NAME?</v>
      </c>
      <c r="V14" s="2" t="e">
        <f ca="1">_xll.BDP("BAC US 01/20/17 P15 Equity", " OPT_UNDL_PX")</f>
        <v>#NAME?</v>
      </c>
      <c r="W14" s="28">
        <v>-1.2874151752184275E-2</v>
      </c>
      <c r="X14" s="28">
        <v>5.9473944400317727E-4</v>
      </c>
      <c r="Y14" s="28">
        <v>-4.3668943606036545E-6</v>
      </c>
      <c r="Z14" s="28">
        <v>1.6930922954725973E-4</v>
      </c>
    </row>
    <row r="15" spans="1:26" x14ac:dyDescent="0.4">
      <c r="A15" s="7"/>
      <c r="B15" s="8"/>
      <c r="C15" s="13"/>
      <c r="E15" s="2" t="s">
        <v>48</v>
      </c>
      <c r="F15" s="2" t="s">
        <v>11</v>
      </c>
      <c r="G15" s="2" t="s">
        <v>12</v>
      </c>
      <c r="H15" s="2" t="s">
        <v>13</v>
      </c>
      <c r="I15" s="2">
        <v>68</v>
      </c>
      <c r="J15" s="2" t="s">
        <v>27</v>
      </c>
      <c r="K15" s="2" t="s">
        <v>28</v>
      </c>
      <c r="L15" s="2">
        <v>3.9794099330900004</v>
      </c>
      <c r="M15" s="2" t="s">
        <v>16</v>
      </c>
      <c r="N15" s="2" t="s">
        <v>49</v>
      </c>
      <c r="O15" s="2" t="e">
        <f ca="1">_xll.BDP("BMY US 01/20/17 P55 Equity", " BID")</f>
        <v>#NAME?</v>
      </c>
      <c r="P15" s="2" t="e">
        <f ca="1">_xll.BDP("BMY US 01/20/17 P55 Equity", " ASK")</f>
        <v>#NAME?</v>
      </c>
      <c r="Q15" s="2" t="e">
        <f ca="1">_xll.BDP("BMY US 01/20/17 P55 Equity", " DELTA_MID_RT")</f>
        <v>#NAME?</v>
      </c>
      <c r="R15" s="2" t="e">
        <f ca="1">_xll.BDP("BMY US 01/20/17 P55 Equity", " GAMMA_MID_RT")</f>
        <v>#NAME?</v>
      </c>
      <c r="S15" s="2" t="e">
        <f ca="1">_xll.BDP("BMY US 01/20/17 P55 Equity", " VEGA_MID_RT")</f>
        <v>#NAME?</v>
      </c>
      <c r="T15" s="2" t="e">
        <f ca="1">_xll.BDP("BMY US 01/20/17 P55 Equity", " THETA_MID_RT")</f>
        <v>#NAME?</v>
      </c>
      <c r="U15" s="21" t="e">
        <f ca="1">_xll.BDP("BMY US 01/20/17 P55 Equity", " PX_POS_MULT_FACTOR")</f>
        <v>#NAME?</v>
      </c>
      <c r="V15" s="2" t="e">
        <f ca="1">_xll.BDP("BMY US 01/20/17 P55 Equity", " OPT_UNDL_PX")</f>
        <v>#NAME?</v>
      </c>
      <c r="W15" s="28">
        <v>-1.4122395422398728E-2</v>
      </c>
      <c r="X15" s="28">
        <v>7.024208368546466E-4</v>
      </c>
      <c r="Y15" s="28">
        <v>-7.5593963463065921E-6</v>
      </c>
      <c r="Z15" s="28">
        <v>2.0583961874503574E-4</v>
      </c>
    </row>
    <row r="16" spans="1:26" x14ac:dyDescent="0.4">
      <c r="A16" s="7"/>
      <c r="B16" s="8"/>
      <c r="C16" s="13"/>
      <c r="E16" s="2" t="s">
        <v>59</v>
      </c>
      <c r="F16" s="2" t="s">
        <v>11</v>
      </c>
      <c r="G16" s="2" t="s">
        <v>12</v>
      </c>
      <c r="H16" s="2" t="s">
        <v>13</v>
      </c>
      <c r="I16" s="2">
        <v>83</v>
      </c>
      <c r="J16" s="2" t="s">
        <v>14</v>
      </c>
      <c r="K16" s="2" t="s">
        <v>15</v>
      </c>
      <c r="L16" s="2">
        <v>2.9807200431800003</v>
      </c>
      <c r="M16" s="2" t="s">
        <v>16</v>
      </c>
      <c r="N16" s="2" t="s">
        <v>60</v>
      </c>
      <c r="O16" s="2" t="e">
        <f ca="1">_xll.BDP("BRCM US 01/20/17 P47 Equity", " BID")</f>
        <v>#NAME?</v>
      </c>
      <c r="P16" s="2" t="e">
        <f ca="1">_xll.BDP("BRCM US 01/20/17 P47 Equity", " ASK")</f>
        <v>#NAME?</v>
      </c>
      <c r="Q16" s="2" t="e">
        <f ca="1">_xll.BDP("BRCM US 01/20/17 P47 Equity", " DELTA_MID_RT")</f>
        <v>#NAME?</v>
      </c>
      <c r="R16" s="2" t="e">
        <f ca="1">_xll.BDP("BRCM US 01/20/17 P47 Equity", " GAMMA_MID_RT")</f>
        <v>#NAME?</v>
      </c>
      <c r="S16" s="2" t="e">
        <f ca="1">_xll.BDP("BRCM US 01/20/17 P47 Equity", " VEGA_MID_RT")</f>
        <v>#NAME?</v>
      </c>
      <c r="T16" s="2" t="e">
        <f ca="1">_xll.BDP("BRCM US 01/20/17 P47 Equity", " THETA_MID_RT")</f>
        <v>#NAME?</v>
      </c>
      <c r="U16" s="21" t="e">
        <f ca="1">_xll.BDP("BRCM US 01/20/17 P47 Equity", " PX_POS_MULT_FACTOR")</f>
        <v>#NAME?</v>
      </c>
      <c r="V16" s="2" t="e">
        <f ca="1">_xll.BDP("BRCM US 01/20/17 P47 Equity", " OPT_UNDL_PX")</f>
        <v>#NAME?</v>
      </c>
      <c r="W16" s="28">
        <v>-1.0563801306433678E-2</v>
      </c>
      <c r="X16" s="28">
        <v>1.4570124047656873E-3</v>
      </c>
      <c r="Y16" s="28">
        <v>-3.3951548848292295E-6</v>
      </c>
      <c r="Z16" s="28">
        <v>1.6282108022239872E-4</v>
      </c>
    </row>
    <row r="17" spans="1:26" x14ac:dyDescent="0.4">
      <c r="A17" s="7"/>
      <c r="B17" s="8"/>
      <c r="C17" s="13"/>
      <c r="E17" s="2" t="s">
        <v>61</v>
      </c>
      <c r="F17" s="2" t="s">
        <v>11</v>
      </c>
      <c r="G17" s="2" t="s">
        <v>12</v>
      </c>
      <c r="H17" s="2" t="s">
        <v>13</v>
      </c>
      <c r="I17" s="2">
        <v>69</v>
      </c>
      <c r="J17" s="2" t="s">
        <v>27</v>
      </c>
      <c r="K17" s="2" t="s">
        <v>28</v>
      </c>
      <c r="L17" s="2">
        <v>1.1813000440600001</v>
      </c>
      <c r="M17" s="2" t="s">
        <v>16</v>
      </c>
      <c r="N17" s="2" t="s">
        <v>62</v>
      </c>
      <c r="O17" s="2" t="e">
        <f ca="1">_xll.BDP("BSX US 01/20/17 P15 Equity", " BID")</f>
        <v>#NAME?</v>
      </c>
      <c r="P17" s="2" t="e">
        <f ca="1">_xll.BDP("BSX US 01/20/17 P15 Equity", " ASK")</f>
        <v>#NAME?</v>
      </c>
      <c r="Q17" s="2" t="e">
        <f ca="1">_xll.BDP("BSX US 01/20/17 P15 Equity", " DELTA_MID_RT")</f>
        <v>#NAME?</v>
      </c>
      <c r="R17" s="2" t="e">
        <f ca="1">_xll.BDP("BSX US 01/20/17 P15 Equity", " GAMMA_MID_RT")</f>
        <v>#NAME?</v>
      </c>
      <c r="S17" s="2" t="e">
        <f ca="1">_xll.BDP("BSX US 01/20/17 P15 Equity", " VEGA_MID_RT")</f>
        <v>#NAME?</v>
      </c>
      <c r="T17" s="2" t="e">
        <f ca="1">_xll.BDP("BSX US 01/20/17 P15 Equity", " THETA_MID_RT")</f>
        <v>#NAME?</v>
      </c>
      <c r="U17" s="21" t="e">
        <f ca="1">_xll.BDP("BSX US 01/20/17 P15 Equity", " PX_POS_MULT_FACTOR")</f>
        <v>#NAME?</v>
      </c>
      <c r="V17" s="2" t="e">
        <f ca="1">_xll.BDP("BSX US 01/20/17 P15 Equity", " OPT_UNDL_PX")</f>
        <v>#NAME?</v>
      </c>
      <c r="W17" s="28">
        <v>-3.9995711780778393E-3</v>
      </c>
      <c r="X17" s="28">
        <v>1.7207249594916599E-4</v>
      </c>
      <c r="Y17" s="28">
        <v>-2.8608419380460685E-6</v>
      </c>
      <c r="Z17" s="28">
        <v>5.8320619539316913E-5</v>
      </c>
    </row>
    <row r="18" spans="1:26" x14ac:dyDescent="0.4">
      <c r="A18" s="7"/>
      <c r="B18" s="8"/>
      <c r="C18" s="13"/>
      <c r="E18" s="2" t="s">
        <v>63</v>
      </c>
      <c r="F18" s="2" t="s">
        <v>11</v>
      </c>
      <c r="G18" s="2" t="s">
        <v>12</v>
      </c>
      <c r="H18" s="2" t="s">
        <v>13</v>
      </c>
      <c r="I18" s="2">
        <v>62</v>
      </c>
      <c r="J18" s="2" t="s">
        <v>33</v>
      </c>
      <c r="K18" s="2" t="s">
        <v>34</v>
      </c>
      <c r="L18" s="2">
        <v>2.71000003815</v>
      </c>
      <c r="M18" s="2" t="s">
        <v>16</v>
      </c>
      <c r="N18" s="2" t="s">
        <v>64</v>
      </c>
      <c r="O18" s="2" t="e">
        <f ca="1">_xll.BDP("CBS US 01/20/17 P37.5 Equity", " BID")</f>
        <v>#NAME?</v>
      </c>
      <c r="P18" s="2" t="e">
        <f ca="1">_xll.BDP("CBS US 01/20/17 P37.5 Equity", " ASK")</f>
        <v>#NAME?</v>
      </c>
      <c r="Q18" s="2" t="e">
        <f ca="1">_xll.BDP("CBS US 01/20/17 P37.5 Equity", " DELTA_MID_RT")</f>
        <v>#NAME?</v>
      </c>
      <c r="R18" s="2" t="e">
        <f ca="1">_xll.BDP("CBS US 01/20/17 P37.5 Equity", " GAMMA_MID_RT")</f>
        <v>#NAME?</v>
      </c>
      <c r="S18" s="2" t="e">
        <f ca="1">_xll.BDP("CBS US 01/20/17 P37.5 Equity", " VEGA_MID_RT")</f>
        <v>#NAME?</v>
      </c>
      <c r="T18" s="2" t="e">
        <f ca="1">_xll.BDP("CBS US 01/20/17 P37.5 Equity", " THETA_MID_RT")</f>
        <v>#NAME?</v>
      </c>
      <c r="U18" s="21" t="e">
        <f ca="1">_xll.BDP("CBS US 01/20/17 P37.5 Equity", " PX_POS_MULT_FACTOR")</f>
        <v>#NAME?</v>
      </c>
      <c r="V18" s="2" t="e">
        <f ca="1">_xll.BDP("CBS US 01/20/17 P37.5 Equity", " OPT_UNDL_PX")</f>
        <v>#NAME?</v>
      </c>
      <c r="W18" s="28">
        <v>-8.8144308031771236E-3</v>
      </c>
      <c r="X18" s="28">
        <v>4.027455291501191E-4</v>
      </c>
      <c r="Y18" s="28">
        <v>-4.7679428117553604E-6</v>
      </c>
      <c r="Z18" s="28">
        <v>1.2919834789515487E-4</v>
      </c>
    </row>
    <row r="19" spans="1:26" x14ac:dyDescent="0.4">
      <c r="A19" s="7"/>
      <c r="B19" s="8"/>
      <c r="C19" s="13"/>
      <c r="E19" s="2" t="s">
        <v>65</v>
      </c>
      <c r="F19" s="2" t="s">
        <v>11</v>
      </c>
      <c r="G19" s="2" t="s">
        <v>12</v>
      </c>
      <c r="H19" s="2" t="s">
        <v>13</v>
      </c>
      <c r="I19" s="2">
        <v>68</v>
      </c>
      <c r="J19" s="2" t="s">
        <v>66</v>
      </c>
      <c r="K19" s="2" t="s">
        <v>67</v>
      </c>
      <c r="L19" s="2">
        <v>3</v>
      </c>
      <c r="M19" s="2" t="s">
        <v>16</v>
      </c>
      <c r="N19" s="2" t="s">
        <v>68</v>
      </c>
      <c r="O19" s="2" t="e">
        <f ca="1">_xll.BDP("CCE US 01/20/17 P45 Equity", " BID")</f>
        <v>#NAME?</v>
      </c>
      <c r="P19" s="2" t="e">
        <f ca="1">_xll.BDP("CCE US 01/20/17 P45 Equity", " ASK")</f>
        <v>#NAME?</v>
      </c>
      <c r="Q19" s="2" t="e">
        <f ca="1">_xll.BDP("CCE US 01/20/17 P45 Equity", " DELTA_MID_RT")</f>
        <v>#NAME?</v>
      </c>
      <c r="R19" s="2" t="e">
        <f ca="1">_xll.BDP("CCE US 01/20/17 P45 Equity", " GAMMA_MID_RT")</f>
        <v>#NAME?</v>
      </c>
      <c r="S19" s="2" t="e">
        <f ca="1">_xll.BDP("CCE US 01/20/17 P45 Equity", " VEGA_MID_RT")</f>
        <v>#NAME?</v>
      </c>
      <c r="T19" s="2" t="e">
        <f ca="1">_xll.BDP("CCE US 01/20/17 P45 Equity", " THETA_MID_RT")</f>
        <v>#NAME?</v>
      </c>
      <c r="U19" s="21" t="e">
        <f ca="1">_xll.BDP("CCE US 01/20/17 P45 Equity", " PX_POS_MULT_FACTOR")</f>
        <v>#NAME?</v>
      </c>
      <c r="V19" s="2" t="e">
        <f ca="1">_xll.BDP("CCE US 01/20/17 P45 Equity", " OPT_UNDL_PX")</f>
        <v>#NAME?</v>
      </c>
      <c r="W19" s="28">
        <v>-1.6546711578713263E-2</v>
      </c>
      <c r="X19" s="28">
        <v>8.003489493248609E-4</v>
      </c>
      <c r="Y19" s="28">
        <v>-5.4345988880063542E-6</v>
      </c>
      <c r="Z19" s="28">
        <v>1.9368387609213663E-4</v>
      </c>
    </row>
    <row r="20" spans="1:26" x14ac:dyDescent="0.4">
      <c r="A20" s="7"/>
      <c r="B20" s="8"/>
      <c r="C20" s="13"/>
      <c r="E20" s="2" t="s">
        <v>69</v>
      </c>
      <c r="F20" s="2" t="s">
        <v>11</v>
      </c>
      <c r="G20" s="2" t="s">
        <v>12</v>
      </c>
      <c r="H20" s="2" t="s">
        <v>13</v>
      </c>
      <c r="I20" s="2">
        <v>37</v>
      </c>
      <c r="J20" s="2" t="s">
        <v>21</v>
      </c>
      <c r="K20" s="2" t="s">
        <v>22</v>
      </c>
      <c r="L20" s="2">
        <v>3.2999999523199999</v>
      </c>
      <c r="M20" s="2" t="s">
        <v>16</v>
      </c>
      <c r="N20" s="2" t="s">
        <v>70</v>
      </c>
      <c r="O20" s="2" t="e">
        <f ca="1">_xll.BDP("CCI US 01/20/17 P72.5 Equity", " BID")</f>
        <v>#NAME?</v>
      </c>
      <c r="P20" s="2" t="e">
        <f ca="1">_xll.BDP("CCI US 01/20/17 P72.5 Equity", " ASK")</f>
        <v>#NAME?</v>
      </c>
      <c r="Q20" s="2" t="e">
        <f ca="1">_xll.BDP("CCI US 01/20/17 P72.5 Equity", " DELTA_MID_RT")</f>
        <v>#NAME?</v>
      </c>
      <c r="R20" s="2" t="e">
        <f ca="1">_xll.BDP("CCI US 01/20/17 P72.5 Equity", " GAMMA_MID_RT")</f>
        <v>#NAME?</v>
      </c>
      <c r="S20" s="2" t="e">
        <f ca="1">_xll.BDP("CCI US 01/20/17 P72.5 Equity", " VEGA_MID_RT")</f>
        <v>#NAME?</v>
      </c>
      <c r="T20" s="2" t="e">
        <f ca="1">_xll.BDP("CCI US 01/20/17 P72.5 Equity", " THETA_MID_RT")</f>
        <v>#NAME?</v>
      </c>
      <c r="U20" s="21" t="e">
        <f ca="1">_xll.BDP("CCI US 01/20/17 P72.5 Equity", " PX_POS_MULT_FACTOR")</f>
        <v>#NAME?</v>
      </c>
      <c r="V20" s="2" t="e">
        <f ca="1">_xll.BDP("CCI US 01/20/17 P72.5 Equity", " OPT_UNDL_PX")</f>
        <v>#NAME?</v>
      </c>
      <c r="W20" s="28">
        <v>-1.0542198697378871E-2</v>
      </c>
      <c r="X20" s="28">
        <v>6.9604435266084198E-4</v>
      </c>
      <c r="Y20" s="28">
        <v>-4.0720571882446389E-6</v>
      </c>
      <c r="Z20" s="28">
        <v>1.4808463860206515E-4</v>
      </c>
    </row>
    <row r="21" spans="1:26" x14ac:dyDescent="0.4">
      <c r="A21" s="7"/>
      <c r="B21" s="8"/>
      <c r="C21" s="13"/>
      <c r="E21" s="2" t="s">
        <v>71</v>
      </c>
      <c r="F21" s="2" t="s">
        <v>11</v>
      </c>
      <c r="G21" s="2" t="s">
        <v>12</v>
      </c>
      <c r="H21" s="2" t="s">
        <v>13</v>
      </c>
      <c r="I21" s="2">
        <v>22</v>
      </c>
      <c r="J21" s="2" t="s">
        <v>21</v>
      </c>
      <c r="K21" s="2" t="s">
        <v>22</v>
      </c>
      <c r="L21" s="2">
        <v>6.1818199157700002</v>
      </c>
      <c r="M21" s="2" t="s">
        <v>16</v>
      </c>
      <c r="N21" s="2" t="s">
        <v>72</v>
      </c>
      <c r="O21" s="2" t="e">
        <f ca="1">_xll.BDP("CME US 01/20/17 P80 Equity", " BID")</f>
        <v>#NAME?</v>
      </c>
      <c r="P21" s="2" t="e">
        <f ca="1">_xll.BDP("CME US 01/20/17 P80 Equity", " ASK")</f>
        <v>#NAME?</v>
      </c>
      <c r="Q21" s="2" t="e">
        <f ca="1">_xll.BDP("CME US 01/20/17 P80 Equity", " DELTA_MID_RT")</f>
        <v>#NAME?</v>
      </c>
      <c r="R21" s="2" t="e">
        <f ca="1">_xll.BDP("CME US 01/20/17 P80 Equity", " GAMMA_MID_RT")</f>
        <v>#NAME?</v>
      </c>
      <c r="S21" s="2" t="e">
        <f ca="1">_xll.BDP("CME US 01/20/17 P80 Equity", " VEGA_MID_RT")</f>
        <v>#NAME?</v>
      </c>
      <c r="T21" s="2" t="e">
        <f ca="1">_xll.BDP("CME US 01/20/17 P80 Equity", " THETA_MID_RT")</f>
        <v>#NAME?</v>
      </c>
      <c r="U21" s="21" t="e">
        <f ca="1">_xll.BDP("CME US 01/20/17 P80 Equity", " PX_POS_MULT_FACTOR")</f>
        <v>#NAME?</v>
      </c>
      <c r="V21" s="2" t="e">
        <f ca="1">_xll.BDP("CME US 01/20/17 P80 Equity", " OPT_UNDL_PX")</f>
        <v>#NAME?</v>
      </c>
      <c r="W21" s="28">
        <v>-9.4945231758538518E-3</v>
      </c>
      <c r="X21" s="28">
        <v>4.4963579729944406E-4</v>
      </c>
      <c r="Y21" s="28">
        <v>-3.4064177918983322E-6</v>
      </c>
      <c r="Z21" s="28">
        <v>1.1266970611596503E-4</v>
      </c>
    </row>
    <row r="22" spans="1:26" x14ac:dyDescent="0.4">
      <c r="A22" s="7"/>
      <c r="B22" s="8"/>
      <c r="C22" s="13"/>
      <c r="E22" s="2" t="s">
        <v>73</v>
      </c>
      <c r="F22" s="2" t="s">
        <v>11</v>
      </c>
      <c r="G22" s="2" t="s">
        <v>12</v>
      </c>
      <c r="H22" s="2" t="s">
        <v>13</v>
      </c>
      <c r="I22" s="2">
        <v>40</v>
      </c>
      <c r="J22" s="2" t="s">
        <v>21</v>
      </c>
      <c r="K22" s="2" t="s">
        <v>22</v>
      </c>
      <c r="L22" s="2">
        <v>5.9499998092699995</v>
      </c>
      <c r="M22" s="2" t="s">
        <v>16</v>
      </c>
      <c r="N22" s="2" t="s">
        <v>74</v>
      </c>
      <c r="O22" s="2" t="e">
        <f ca="1">_xll.BDP("COF US 01/20/17 P67.5 Equity", " BID")</f>
        <v>#NAME?</v>
      </c>
      <c r="P22" s="2" t="e">
        <f ca="1">_xll.BDP("COF US 01/20/17 P67.5 Equity", " ASK")</f>
        <v>#NAME?</v>
      </c>
      <c r="Q22" s="2" t="e">
        <f ca="1">_xll.BDP("COF US 01/20/17 P67.5 Equity", " DELTA_MID_RT")</f>
        <v>#NAME?</v>
      </c>
      <c r="R22" s="2" t="e">
        <f ca="1">_xll.BDP("COF US 01/20/17 P67.5 Equity", " GAMMA_MID_RT")</f>
        <v>#NAME?</v>
      </c>
      <c r="S22" s="2" t="e">
        <f ca="1">_xll.BDP("COF US 01/20/17 P67.5 Equity", " VEGA_MID_RT")</f>
        <v>#NAME?</v>
      </c>
      <c r="T22" s="2" t="e">
        <f ca="1">_xll.BDP("COF US 01/20/17 P67.5 Equity", " THETA_MID_RT")</f>
        <v>#NAME?</v>
      </c>
      <c r="U22" s="21" t="e">
        <f ca="1">_xll.BDP("COF US 01/20/17 P67.5 Equity", " PX_POS_MULT_FACTOR")</f>
        <v>#NAME?</v>
      </c>
      <c r="V22" s="2" t="e">
        <f ca="1">_xll.BDP("COF US 01/20/17 P67.5 Equity", " OPT_UNDL_PX")</f>
        <v>#NAME?</v>
      </c>
      <c r="W22" s="28">
        <v>-1.5899113410643373E-2</v>
      </c>
      <c r="X22" s="28">
        <v>6.1873413185067525E-4</v>
      </c>
      <c r="Y22" s="28">
        <v>-5.8001588562351073E-6</v>
      </c>
      <c r="Z22" s="28">
        <v>1.7499857029388402E-4</v>
      </c>
    </row>
    <row r="23" spans="1:26" x14ac:dyDescent="0.4">
      <c r="A23" s="7"/>
      <c r="B23" s="8"/>
      <c r="C23" s="13"/>
      <c r="E23" s="2" t="s">
        <v>75</v>
      </c>
      <c r="F23" s="2" t="s">
        <v>11</v>
      </c>
      <c r="G23" s="2" t="s">
        <v>12</v>
      </c>
      <c r="H23" s="2" t="s">
        <v>13</v>
      </c>
      <c r="I23" s="2">
        <v>20</v>
      </c>
      <c r="J23" s="2" t="s">
        <v>14</v>
      </c>
      <c r="K23" s="2" t="s">
        <v>15</v>
      </c>
      <c r="L23" s="2">
        <v>10.300000190700001</v>
      </c>
      <c r="M23" s="2" t="s">
        <v>16</v>
      </c>
      <c r="N23" s="2" t="s">
        <v>76</v>
      </c>
      <c r="O23" s="2" t="e">
        <f ca="1">_xll.BDP("CRM US 01/19/18 P70 Equity", " BID")</f>
        <v>#NAME?</v>
      </c>
      <c r="P23" s="2" t="e">
        <f ca="1">_xll.BDP("CRM US 01/19/18 P70 Equity", " ASK")</f>
        <v>#NAME?</v>
      </c>
      <c r="Q23" s="2" t="e">
        <f ca="1">_xll.BDP("CRM US 01/19/18 P70 Equity", " DELTA_MID_RT")</f>
        <v>#NAME?</v>
      </c>
      <c r="R23" s="2" t="e">
        <f ca="1">_xll.BDP("CRM US 01/19/18 P70 Equity", " GAMMA_MID_RT")</f>
        <v>#NAME?</v>
      </c>
      <c r="S23" s="2" t="e">
        <f ca="1">_xll.BDP("CRM US 01/19/18 P70 Equity", " VEGA_MID_RT")</f>
        <v>#NAME?</v>
      </c>
      <c r="T23" s="2" t="e">
        <f ca="1">_xll.BDP("CRM US 01/19/18 P70 Equity", " THETA_MID_RT")</f>
        <v>#NAME?</v>
      </c>
      <c r="U23" s="21" t="e">
        <f ca="1">_xll.BDP("CRM US 01/19/18 P70 Equity", " PX_POS_MULT_FACTOR")</f>
        <v>#NAME?</v>
      </c>
      <c r="V23" s="2" t="e">
        <f ca="1">_xll.BDP("CRM US 01/19/18 P70 Equity", " OPT_UNDL_PX")</f>
        <v>#NAME?</v>
      </c>
      <c r="W23" s="28">
        <v>-7.3771555329626686E-3</v>
      </c>
      <c r="X23" s="28">
        <v>1.9636003177124701E-4</v>
      </c>
      <c r="Y23" s="28">
        <v>-2.2154090548054009E-6</v>
      </c>
      <c r="Z23" s="28">
        <v>1.2401493248610006E-4</v>
      </c>
    </row>
    <row r="24" spans="1:26" x14ac:dyDescent="0.4">
      <c r="A24" s="7"/>
      <c r="B24" s="8"/>
      <c r="C24" s="13"/>
      <c r="E24" s="2" t="s">
        <v>77</v>
      </c>
      <c r="F24" s="2" t="s">
        <v>11</v>
      </c>
      <c r="G24" s="2" t="s">
        <v>12</v>
      </c>
      <c r="H24" s="2" t="s">
        <v>13</v>
      </c>
      <c r="I24" s="2">
        <v>63</v>
      </c>
      <c r="J24" s="2" t="s">
        <v>14</v>
      </c>
      <c r="K24" s="2" t="s">
        <v>15</v>
      </c>
      <c r="L24" s="2">
        <v>4.7948100566900003</v>
      </c>
      <c r="M24" s="2" t="s">
        <v>16</v>
      </c>
      <c r="N24" s="2" t="s">
        <v>78</v>
      </c>
      <c r="O24" s="2" t="e">
        <f ca="1">_xll.BDP("CTSH US 01/20/17 P57.5 Equity", " BID")</f>
        <v>#NAME?</v>
      </c>
      <c r="P24" s="2" t="e">
        <f ca="1">_xll.BDP("CTSH US 01/20/17 P57.5 Equity", " ASK")</f>
        <v>#NAME?</v>
      </c>
      <c r="Q24" s="2" t="e">
        <f ca="1">_xll.BDP("CTSH US 01/20/17 P57.5 Equity", " DELTA_MID_RT")</f>
        <v>#NAME?</v>
      </c>
      <c r="R24" s="2" t="e">
        <f ca="1">_xll.BDP("CTSH US 01/20/17 P57.5 Equity", " GAMMA_MID_RT")</f>
        <v>#NAME?</v>
      </c>
      <c r="S24" s="2" t="e">
        <f ca="1">_xll.BDP("CTSH US 01/20/17 P57.5 Equity", " VEGA_MID_RT")</f>
        <v>#NAME?</v>
      </c>
      <c r="T24" s="2" t="e">
        <f ca="1">_xll.BDP("CTSH US 01/20/17 P57.5 Equity", " THETA_MID_RT")</f>
        <v>#NAME?</v>
      </c>
      <c r="U24" s="21" t="e">
        <f ca="1">_xll.BDP("CTSH US 01/20/17 P57.5 Equity", " PX_POS_MULT_FACTOR")</f>
        <v>#NAME?</v>
      </c>
      <c r="V24" s="2" t="e">
        <f ca="1">_xll.BDP("CTSH US 01/20/17 P57.5 Equity", " OPT_UNDL_PX")</f>
        <v>#NAME?</v>
      </c>
      <c r="W24" s="28">
        <v>-2.1258099227323274E-2</v>
      </c>
      <c r="X24" s="28">
        <v>7.7487225798252566E-4</v>
      </c>
      <c r="Y24" s="28">
        <v>-8.4837331215250198E-6</v>
      </c>
      <c r="Z24" s="28">
        <v>2.3369947577442417E-4</v>
      </c>
    </row>
    <row r="25" spans="1:26" x14ac:dyDescent="0.4">
      <c r="A25" s="7"/>
      <c r="B25" s="8"/>
      <c r="C25" s="13"/>
      <c r="E25" s="2" t="s">
        <v>79</v>
      </c>
      <c r="F25" s="2" t="s">
        <v>11</v>
      </c>
      <c r="G25" s="2" t="s">
        <v>12</v>
      </c>
      <c r="H25" s="2" t="s">
        <v>13</v>
      </c>
      <c r="I25" s="2">
        <v>35</v>
      </c>
      <c r="J25" s="2" t="s">
        <v>43</v>
      </c>
      <c r="K25" s="2" t="s">
        <v>44</v>
      </c>
      <c r="L25" s="2">
        <v>5.97856998444</v>
      </c>
      <c r="M25" s="2" t="s">
        <v>16</v>
      </c>
      <c r="N25" s="2" t="s">
        <v>80</v>
      </c>
      <c r="O25" s="2" t="e">
        <f ca="1">_xll.BDP("DAL US 01/20/17 P45 Equity", " BID")</f>
        <v>#NAME?</v>
      </c>
      <c r="P25" s="2" t="e">
        <f ca="1">_xll.BDP("DAL US 01/20/17 P45 Equity", " ASK")</f>
        <v>#NAME?</v>
      </c>
      <c r="Q25" s="2" t="e">
        <f ca="1">_xll.BDP("DAL US 01/20/17 P45 Equity", " DELTA_MID_RT")</f>
        <v>#NAME?</v>
      </c>
      <c r="R25" s="2" t="e">
        <f ca="1">_xll.BDP("DAL US 01/20/17 P45 Equity", " GAMMA_MID_RT")</f>
        <v>#NAME?</v>
      </c>
      <c r="S25" s="2" t="e">
        <f ca="1">_xll.BDP("DAL US 01/20/17 P45 Equity", " VEGA_MID_RT")</f>
        <v>#NAME?</v>
      </c>
      <c r="T25" s="2" t="e">
        <f ca="1">_xll.BDP("DAL US 01/20/17 P45 Equity", " THETA_MID_RT")</f>
        <v>#NAME?</v>
      </c>
      <c r="U25" s="21" t="e">
        <f ca="1">_xll.BDP("DAL US 01/20/17 P45 Equity", " PX_POS_MULT_FACTOR")</f>
        <v>#NAME?</v>
      </c>
      <c r="V25" s="2" t="e">
        <f ca="1">_xll.BDP("DAL US 01/20/17 P45 Equity", " OPT_UNDL_PX")</f>
        <v>#NAME?</v>
      </c>
      <c r="W25" s="28">
        <v>-8.0258261699761718E-3</v>
      </c>
      <c r="X25" s="28">
        <v>2.7811292454328829E-4</v>
      </c>
      <c r="Y25" s="28">
        <v>-4.6542494042891181E-6</v>
      </c>
      <c r="Z25" s="28">
        <v>9.9888721207307406E-5</v>
      </c>
    </row>
    <row r="26" spans="1:26" x14ac:dyDescent="0.4">
      <c r="A26" s="7" t="s">
        <v>243</v>
      </c>
      <c r="B26" s="8"/>
      <c r="C26" s="13"/>
      <c r="E26" s="2" t="s">
        <v>81</v>
      </c>
      <c r="F26" s="2" t="s">
        <v>11</v>
      </c>
      <c r="G26" s="2" t="s">
        <v>12</v>
      </c>
      <c r="H26" s="2" t="s">
        <v>13</v>
      </c>
      <c r="I26" s="2">
        <v>20</v>
      </c>
      <c r="J26" s="2" t="s">
        <v>33</v>
      </c>
      <c r="K26" s="2" t="s">
        <v>34</v>
      </c>
      <c r="L26" s="2">
        <v>11</v>
      </c>
      <c r="M26" s="2" t="s">
        <v>16</v>
      </c>
      <c r="N26" s="2" t="s">
        <v>82</v>
      </c>
      <c r="O26" s="2" t="e">
        <f ca="1">_xll.BDP("DIS US 01/19/18 P95 Equity", " BID")</f>
        <v>#NAME?</v>
      </c>
      <c r="P26" s="2" t="e">
        <f ca="1">_xll.BDP("DIS US 01/19/18 P95 Equity", " ASK")</f>
        <v>#NAME?</v>
      </c>
      <c r="Q26" s="2" t="e">
        <f ca="1">_xll.BDP("DIS US 01/19/18 P95 Equity", " DELTA_MID_RT")</f>
        <v>#NAME?</v>
      </c>
      <c r="R26" s="2" t="e">
        <f ca="1">_xll.BDP("DIS US 01/19/18 P95 Equity", " GAMMA_MID_RT")</f>
        <v>#NAME?</v>
      </c>
      <c r="S26" s="2" t="e">
        <f ca="1">_xll.BDP("DIS US 01/19/18 P95 Equity", " VEGA_MID_RT")</f>
        <v>#NAME?</v>
      </c>
      <c r="T26" s="2" t="e">
        <f ca="1">_xll.BDP("DIS US 01/19/18 P95 Equity", " THETA_MID_RT")</f>
        <v>#NAME?</v>
      </c>
      <c r="U26" s="21" t="e">
        <f ca="1">_xll.BDP("DIS US 01/19/18 P95 Equity", " PX_POS_MULT_FACTOR")</f>
        <v>#NAME?</v>
      </c>
      <c r="V26" s="2" t="e">
        <f ca="1">_xll.BDP("DIS US 01/19/18 P95 Equity", " OPT_UNDL_PX")</f>
        <v>#NAME?</v>
      </c>
      <c r="W26" s="28">
        <v>-1.0250524301826845E-2</v>
      </c>
      <c r="X26" s="28">
        <v>3.0921369976171561E-4</v>
      </c>
      <c r="Y26" s="28">
        <v>-2.9108816521048452E-6</v>
      </c>
      <c r="Z26" s="28">
        <v>1.6886195393169183E-4</v>
      </c>
    </row>
    <row r="27" spans="1:26" x14ac:dyDescent="0.4">
      <c r="A27" s="7"/>
      <c r="B27" s="8"/>
      <c r="C27" s="13"/>
      <c r="E27" s="2" t="s">
        <v>83</v>
      </c>
      <c r="F27" s="2" t="s">
        <v>11</v>
      </c>
      <c r="G27" s="2" t="s">
        <v>12</v>
      </c>
      <c r="H27" s="2" t="s">
        <v>13</v>
      </c>
      <c r="I27" s="2">
        <v>30</v>
      </c>
      <c r="J27" s="2" t="s">
        <v>37</v>
      </c>
      <c r="K27" s="2" t="s">
        <v>38</v>
      </c>
      <c r="L27" s="2">
        <v>4.5500001907300005</v>
      </c>
      <c r="M27" s="2" t="s">
        <v>16</v>
      </c>
      <c r="N27" s="2" t="s">
        <v>84</v>
      </c>
      <c r="O27" s="2" t="e">
        <f ca="1">_xll.BDP("DOW US 01/20/17 P43 Equity", " BID")</f>
        <v>#NAME?</v>
      </c>
      <c r="P27" s="2" t="e">
        <f ca="1">_xll.BDP("DOW US 01/20/17 P43 Equity", " ASK")</f>
        <v>#NAME?</v>
      </c>
      <c r="Q27" s="2" t="e">
        <f ca="1">_xll.BDP("DOW US 01/20/17 P43 Equity", " DELTA_MID_RT")</f>
        <v>#NAME?</v>
      </c>
      <c r="R27" s="2" t="e">
        <f ca="1">_xll.BDP("DOW US 01/20/17 P43 Equity", " GAMMA_MID_RT")</f>
        <v>#NAME?</v>
      </c>
      <c r="S27" s="2" t="e">
        <f ca="1">_xll.BDP("DOW US 01/20/17 P43 Equity", " VEGA_MID_RT")</f>
        <v>#NAME?</v>
      </c>
      <c r="T27" s="2" t="e">
        <f ca="1">_xll.BDP("DOW US 01/20/17 P43 Equity", " THETA_MID_RT")</f>
        <v>#NAME?</v>
      </c>
      <c r="U27" s="21" t="e">
        <f ca="1">_xll.BDP("DOW US 01/20/17 P43 Equity", " PX_POS_MULT_FACTOR")</f>
        <v>#NAME?</v>
      </c>
      <c r="V27" s="2" t="e">
        <f ca="1">_xll.BDP("DOW US 01/20/17 P43 Equity", " OPT_UNDL_PX")</f>
        <v>#NAME?</v>
      </c>
      <c r="W27" s="28">
        <v>-5.7364909706115958E-3</v>
      </c>
      <c r="X27" s="28">
        <v>2.6594587291501199E-4</v>
      </c>
      <c r="Y27" s="28">
        <v>-2.8565528196981732E-6</v>
      </c>
      <c r="Z27" s="28">
        <v>7.7339475774424157E-5</v>
      </c>
    </row>
    <row r="28" spans="1:26" x14ac:dyDescent="0.4">
      <c r="A28" s="7"/>
      <c r="B28" s="8"/>
      <c r="C28" s="13"/>
      <c r="E28" s="2" t="s">
        <v>85</v>
      </c>
      <c r="F28" s="2" t="s">
        <v>11</v>
      </c>
      <c r="G28" s="2" t="s">
        <v>12</v>
      </c>
      <c r="H28" s="2" t="s">
        <v>13</v>
      </c>
      <c r="I28" s="2">
        <v>37</v>
      </c>
      <c r="J28" s="2" t="s">
        <v>33</v>
      </c>
      <c r="K28" s="2" t="s">
        <v>34</v>
      </c>
      <c r="L28" s="2">
        <v>5.5891900062599991</v>
      </c>
      <c r="M28" s="2" t="s">
        <v>16</v>
      </c>
      <c r="N28" s="2" t="s">
        <v>86</v>
      </c>
      <c r="O28" s="2" t="e">
        <f ca="1">_xll.BDP("DRI1 US 01/20/17 P57.5 Equity", " BID")</f>
        <v>#NAME?</v>
      </c>
      <c r="P28" s="2" t="e">
        <f ca="1">_xll.BDP("DRI1 US 01/20/17 P57.5 Equity", " ASK")</f>
        <v>#NAME?</v>
      </c>
      <c r="Q28" s="2" t="e">
        <f ca="1">_xll.BDP("DRI1 US 01/20/17 P57.5 Equity", " DELTA_MID_RT")</f>
        <v>#NAME?</v>
      </c>
      <c r="R28" s="2" t="e">
        <f ca="1">_xll.BDP("DRI1 US 01/20/17 P57.5 Equity", " GAMMA_MID_RT")</f>
        <v>#NAME?</v>
      </c>
      <c r="S28" s="2" t="e">
        <f ca="1">_xll.BDP("DRI1 US 01/20/17 P57.5 Equity", " VEGA_MID_RT")</f>
        <v>#NAME?</v>
      </c>
      <c r="T28" s="2" t="e">
        <f ca="1">_xll.BDP("DRI1 US 01/20/17 P57.5 Equity", " THETA_MID_RT")</f>
        <v>#NAME?</v>
      </c>
      <c r="U28" s="21" t="e">
        <f ca="1">_xll.BDP("DRI1 US 01/20/17 P57.5 Equity", " PX_POS_MULT_FACTOR")</f>
        <v>#NAME?</v>
      </c>
      <c r="V28" s="2" t="e">
        <f ca="1">_xll.BDP("DRI1 US 01/20/17 P57.5 Equity", " OPT_UNDL_PX")</f>
        <v>#NAME?</v>
      </c>
      <c r="W28" s="28">
        <v>0</v>
      </c>
      <c r="X28" s="28">
        <v>0</v>
      </c>
      <c r="Y28" s="28">
        <v>0</v>
      </c>
      <c r="Z28" s="28">
        <v>0</v>
      </c>
    </row>
    <row r="29" spans="1:26" x14ac:dyDescent="0.4">
      <c r="A29" s="7"/>
      <c r="B29" s="8"/>
      <c r="C29" s="13"/>
      <c r="E29" s="2" t="s">
        <v>87</v>
      </c>
      <c r="F29" s="2" t="s">
        <v>11</v>
      </c>
      <c r="G29" s="2" t="s">
        <v>12</v>
      </c>
      <c r="H29" s="2" t="s">
        <v>13</v>
      </c>
      <c r="I29" s="2">
        <v>40</v>
      </c>
      <c r="J29" s="2" t="s">
        <v>14</v>
      </c>
      <c r="K29" s="2" t="s">
        <v>15</v>
      </c>
      <c r="L29" s="2">
        <v>5.875</v>
      </c>
      <c r="M29" s="2" t="s">
        <v>16</v>
      </c>
      <c r="N29" s="2" t="s">
        <v>88</v>
      </c>
      <c r="O29" s="2" t="e">
        <f ca="1">_xll.BDP("EA US 01/20/17 P60 Equity", " BID")</f>
        <v>#NAME?</v>
      </c>
      <c r="P29" s="2" t="e">
        <f ca="1">_xll.BDP("EA US 01/20/17 P60 Equity", " ASK")</f>
        <v>#NAME?</v>
      </c>
      <c r="Q29" s="2" t="e">
        <f ca="1">_xll.BDP("EA US 01/20/17 P60 Equity", " DELTA_MID_RT")</f>
        <v>#NAME?</v>
      </c>
      <c r="R29" s="2" t="e">
        <f ca="1">_xll.BDP("EA US 01/20/17 P60 Equity", " GAMMA_MID_RT")</f>
        <v>#NAME?</v>
      </c>
      <c r="S29" s="2" t="e">
        <f ca="1">_xll.BDP("EA US 01/20/17 P60 Equity", " VEGA_MID_RT")</f>
        <v>#NAME?</v>
      </c>
      <c r="T29" s="2" t="e">
        <f ca="1">_xll.BDP("EA US 01/20/17 P60 Equity", " THETA_MID_RT")</f>
        <v>#NAME?</v>
      </c>
      <c r="U29" s="21" t="e">
        <f ca="1">_xll.BDP("EA US 01/20/17 P60 Equity", " PX_POS_MULT_FACTOR")</f>
        <v>#NAME?</v>
      </c>
      <c r="V29" s="2" t="e">
        <f ca="1">_xll.BDP("EA US 01/20/17 P60 Equity", " OPT_UNDL_PX")</f>
        <v>#NAME?</v>
      </c>
      <c r="W29" s="28">
        <v>-1.2049041779189832E-2</v>
      </c>
      <c r="X29" s="28">
        <v>3.9133753772835583E-4</v>
      </c>
      <c r="Y29" s="28">
        <v>-6.8664019062748206E-6</v>
      </c>
      <c r="Z29" s="28">
        <v>1.5130420969023032E-4</v>
      </c>
    </row>
    <row r="30" spans="1:26" x14ac:dyDescent="0.4">
      <c r="A30" s="7"/>
      <c r="B30" s="8"/>
      <c r="C30" s="13"/>
      <c r="E30" s="2" t="s">
        <v>89</v>
      </c>
      <c r="F30" s="2" t="s">
        <v>11</v>
      </c>
      <c r="G30" s="2" t="s">
        <v>12</v>
      </c>
      <c r="H30" s="2" t="s">
        <v>13</v>
      </c>
      <c r="I30" s="2">
        <v>10</v>
      </c>
      <c r="J30" s="2" t="s">
        <v>66</v>
      </c>
      <c r="K30" s="2" t="s">
        <v>67</v>
      </c>
      <c r="L30" s="2">
        <v>5.1999998092699995</v>
      </c>
      <c r="M30" s="2" t="s">
        <v>16</v>
      </c>
      <c r="N30" s="2" t="s">
        <v>90</v>
      </c>
      <c r="O30" s="2" t="e">
        <f ca="1">_xll.BDP("EL US 01/20/17 P75 Equity", " BID")</f>
        <v>#NAME?</v>
      </c>
      <c r="P30" s="2" t="e">
        <f ca="1">_xll.BDP("EL US 01/20/17 P75 Equity", " ASK")</f>
        <v>#NAME?</v>
      </c>
      <c r="Q30" s="2" t="e">
        <f ca="1">_xll.BDP("EL US 01/20/17 P75 Equity", " DELTA_MID_RT")</f>
        <v>#NAME?</v>
      </c>
      <c r="R30" s="2" t="e">
        <f ca="1">_xll.BDP("EL US 01/20/17 P75 Equity", " GAMMA_MID_RT")</f>
        <v>#NAME?</v>
      </c>
      <c r="S30" s="2" t="e">
        <f ca="1">_xll.BDP("EL US 01/20/17 P75 Equity", " VEGA_MID_RT")</f>
        <v>#NAME?</v>
      </c>
      <c r="T30" s="2" t="e">
        <f ca="1">_xll.BDP("EL US 01/20/17 P75 Equity", " THETA_MID_RT")</f>
        <v>#NAME?</v>
      </c>
      <c r="U30" s="21" t="e">
        <f ca="1">_xll.BDP("EL US 01/20/17 P75 Equity", " PX_POS_MULT_FACTOR")</f>
        <v>#NAME?</v>
      </c>
      <c r="V30" s="2" t="e">
        <f ca="1">_xll.BDP("EL US 01/20/17 P75 Equity", " OPT_UNDL_PX")</f>
        <v>#NAME?</v>
      </c>
      <c r="W30" s="28">
        <v>-3.1241714058776807E-3</v>
      </c>
      <c r="X30" s="28">
        <v>1.5643224781572676E-4</v>
      </c>
      <c r="Y30" s="28">
        <v>-1.46878474980143E-6</v>
      </c>
      <c r="Z30" s="28">
        <v>4.3101191421763307E-5</v>
      </c>
    </row>
    <row r="31" spans="1:26" x14ac:dyDescent="0.4">
      <c r="A31" s="7"/>
      <c r="B31" s="8"/>
      <c r="C31" s="13"/>
      <c r="E31" s="2" t="s">
        <v>91</v>
      </c>
      <c r="F31" s="2" t="s">
        <v>11</v>
      </c>
      <c r="G31" s="2" t="s">
        <v>12</v>
      </c>
      <c r="H31" s="2" t="s">
        <v>13</v>
      </c>
      <c r="I31" s="2">
        <v>50</v>
      </c>
      <c r="J31" s="2" t="s">
        <v>21</v>
      </c>
      <c r="K31" s="2" t="s">
        <v>22</v>
      </c>
      <c r="L31" s="2">
        <v>4.2000000476799997</v>
      </c>
      <c r="M31" s="2" t="s">
        <v>16</v>
      </c>
      <c r="N31" s="2" t="s">
        <v>92</v>
      </c>
      <c r="O31" s="2" t="e">
        <f ca="1">_xll.BDP("EQR US 01/20/17 P70 Equity", " BID")</f>
        <v>#NAME?</v>
      </c>
      <c r="P31" s="2" t="e">
        <f ca="1">_xll.BDP("EQR US 01/20/17 P70 Equity", " ASK")</f>
        <v>#NAME?</v>
      </c>
      <c r="Q31" s="2" t="e">
        <f ca="1">_xll.BDP("EQR US 01/20/17 P70 Equity", " DELTA_MID_RT")</f>
        <v>#NAME?</v>
      </c>
      <c r="R31" s="2" t="e">
        <f ca="1">_xll.BDP("EQR US 01/20/17 P70 Equity", " GAMMA_MID_RT")</f>
        <v>#NAME?</v>
      </c>
      <c r="S31" s="2" t="e">
        <f ca="1">_xll.BDP("EQR US 01/20/17 P70 Equity", " VEGA_MID_RT")</f>
        <v>#NAME?</v>
      </c>
      <c r="T31" s="2" t="e">
        <f ca="1">_xll.BDP("EQR US 01/20/17 P70 Equity", " THETA_MID_RT")</f>
        <v>#NAME?</v>
      </c>
      <c r="U31" s="21" t="e">
        <f ca="1">_xll.BDP("EQR US 01/20/17 P70 Equity", " PX_POS_MULT_FACTOR")</f>
        <v>#NAME?</v>
      </c>
      <c r="V31" s="2" t="e">
        <f ca="1">_xll.BDP("EQR US 01/20/17 P70 Equity", " OPT_UNDL_PX")</f>
        <v>#NAME?</v>
      </c>
      <c r="W31" s="28">
        <v>-1.670488701350278E-2</v>
      </c>
      <c r="X31" s="28">
        <v>8.4645907069102468E-4</v>
      </c>
      <c r="Y31" s="28">
        <v>-6.3240667196187451E-6</v>
      </c>
      <c r="Z31" s="28">
        <v>2.1337490071485308E-4</v>
      </c>
    </row>
    <row r="32" spans="1:26" x14ac:dyDescent="0.4">
      <c r="A32" s="7"/>
      <c r="B32" s="8"/>
      <c r="C32" s="13"/>
      <c r="E32" s="2" t="s">
        <v>93</v>
      </c>
      <c r="F32" s="2" t="s">
        <v>11</v>
      </c>
      <c r="G32" s="2" t="s">
        <v>12</v>
      </c>
      <c r="H32" s="2" t="s">
        <v>13</v>
      </c>
      <c r="I32" s="2">
        <v>16</v>
      </c>
      <c r="J32" s="2" t="s">
        <v>33</v>
      </c>
      <c r="K32" s="2" t="s">
        <v>34</v>
      </c>
      <c r="L32" s="2">
        <v>11.5</v>
      </c>
      <c r="M32" s="2" t="s">
        <v>16</v>
      </c>
      <c r="N32" s="2" t="s">
        <v>94</v>
      </c>
      <c r="O32" s="2" t="e">
        <f ca="1">_xll.BDP("EXPE US 01/20/17 P110 Equity", " BID")</f>
        <v>#NAME?</v>
      </c>
      <c r="P32" s="2" t="e">
        <f ca="1">_xll.BDP("EXPE US 01/20/17 P110 Equity", " ASK")</f>
        <v>#NAME?</v>
      </c>
      <c r="Q32" s="2" t="e">
        <f ca="1">_xll.BDP("EXPE US 01/20/17 P110 Equity", " DELTA_MID_RT")</f>
        <v>#NAME?</v>
      </c>
      <c r="R32" s="2" t="e">
        <f ca="1">_xll.BDP("EXPE US 01/20/17 P110 Equity", " GAMMA_MID_RT")</f>
        <v>#NAME?</v>
      </c>
      <c r="S32" s="2" t="e">
        <f ca="1">_xll.BDP("EXPE US 01/20/17 P110 Equity", " VEGA_MID_RT")</f>
        <v>#NAME?</v>
      </c>
      <c r="T32" s="2" t="e">
        <f ca="1">_xll.BDP("EXPE US 01/20/17 P110 Equity", " THETA_MID_RT")</f>
        <v>#NAME?</v>
      </c>
      <c r="U32" s="21" t="e">
        <f ca="1">_xll.BDP("EXPE US 01/20/17 P110 Equity", " PX_POS_MULT_FACTOR")</f>
        <v>#NAME?</v>
      </c>
      <c r="V32" s="2" t="e">
        <f ca="1">_xll.BDP("EXPE US 01/20/17 P110 Equity", " OPT_UNDL_PX")</f>
        <v>#NAME?</v>
      </c>
      <c r="W32" s="28">
        <v>-8.9910212676727573E-3</v>
      </c>
      <c r="X32" s="28">
        <v>2.8166623669579032E-4</v>
      </c>
      <c r="Y32" s="28">
        <v>-5.1987926926131844E-6</v>
      </c>
      <c r="Z32" s="28">
        <v>1.1167593328038126E-4</v>
      </c>
    </row>
    <row r="33" spans="1:26" x14ac:dyDescent="0.4">
      <c r="A33" s="7"/>
      <c r="B33" s="8"/>
      <c r="C33" s="13"/>
      <c r="E33" s="2" t="s">
        <v>95</v>
      </c>
      <c r="F33" s="2" t="s">
        <v>11</v>
      </c>
      <c r="G33" s="2" t="s">
        <v>12</v>
      </c>
      <c r="H33" s="2" t="s">
        <v>13</v>
      </c>
      <c r="I33" s="2">
        <v>20</v>
      </c>
      <c r="J33" s="2" t="s">
        <v>14</v>
      </c>
      <c r="K33" s="2" t="s">
        <v>15</v>
      </c>
      <c r="L33" s="2">
        <v>9.3000001907300014</v>
      </c>
      <c r="M33" s="2" t="s">
        <v>16</v>
      </c>
      <c r="N33" s="2" t="s">
        <v>96</v>
      </c>
      <c r="O33" s="2" t="e">
        <f ca="1">_xll.BDP("FB US 01/20/17 P85 Equity", " BID")</f>
        <v>#NAME?</v>
      </c>
      <c r="P33" s="2" t="e">
        <f ca="1">_xll.BDP("FB US 01/20/17 P85 Equity", " ASK")</f>
        <v>#NAME?</v>
      </c>
      <c r="Q33" s="2" t="e">
        <f ca="1">_xll.BDP("FB US 01/20/17 P85 Equity", " DELTA_MID_RT")</f>
        <v>#NAME?</v>
      </c>
      <c r="R33" s="2" t="e">
        <f ca="1">_xll.BDP("FB US 01/20/17 P85 Equity", " GAMMA_MID_RT")</f>
        <v>#NAME?</v>
      </c>
      <c r="S33" s="2" t="e">
        <f ca="1">_xll.BDP("FB US 01/20/17 P85 Equity", " VEGA_MID_RT")</f>
        <v>#NAME?</v>
      </c>
      <c r="T33" s="2" t="e">
        <f ca="1">_xll.BDP("FB US 01/20/17 P85 Equity", " THETA_MID_RT")</f>
        <v>#NAME?</v>
      </c>
      <c r="U33" s="21" t="e">
        <f ca="1">_xll.BDP("FB US 01/20/17 P85 Equity", " PX_POS_MULT_FACTOR")</f>
        <v>#NAME?</v>
      </c>
      <c r="V33" s="2" t="e">
        <f ca="1">_xll.BDP("FB US 01/20/17 P85 Equity", " OPT_UNDL_PX")</f>
        <v>#NAME?</v>
      </c>
      <c r="W33" s="28">
        <v>-6.8273247656870538E-3</v>
      </c>
      <c r="X33" s="28">
        <v>2.5953682605242258E-4</v>
      </c>
      <c r="Y33" s="28">
        <v>-4.623669579030977E-6</v>
      </c>
      <c r="Z33" s="28">
        <v>9.8367593328038138E-5</v>
      </c>
    </row>
    <row r="34" spans="1:26" x14ac:dyDescent="0.4">
      <c r="A34" s="7"/>
      <c r="B34" s="8"/>
      <c r="C34" s="13"/>
      <c r="E34" s="2" t="s">
        <v>97</v>
      </c>
      <c r="F34" s="2" t="s">
        <v>11</v>
      </c>
      <c r="G34" s="2" t="s">
        <v>12</v>
      </c>
      <c r="H34" s="2" t="s">
        <v>13</v>
      </c>
      <c r="I34" s="2">
        <v>30</v>
      </c>
      <c r="J34" s="2" t="s">
        <v>14</v>
      </c>
      <c r="K34" s="2" t="s">
        <v>15</v>
      </c>
      <c r="L34" s="2">
        <v>7.1999998092699995</v>
      </c>
      <c r="M34" s="2" t="s">
        <v>16</v>
      </c>
      <c r="N34" s="2" t="s">
        <v>98</v>
      </c>
      <c r="O34" s="2" t="e">
        <f ca="1">_xll.BDP("FSLR US 01/20/17 P45 Equity", " BID")</f>
        <v>#NAME?</v>
      </c>
      <c r="P34" s="2" t="e">
        <f ca="1">_xll.BDP("FSLR US 01/20/17 P45 Equity", " ASK")</f>
        <v>#NAME?</v>
      </c>
      <c r="Q34" s="2" t="e">
        <f ca="1">_xll.BDP("FSLR US 01/20/17 P45 Equity", " DELTA_MID_RT")</f>
        <v>#NAME?</v>
      </c>
      <c r="R34" s="2" t="e">
        <f ca="1">_xll.BDP("FSLR US 01/20/17 P45 Equity", " GAMMA_MID_RT")</f>
        <v>#NAME?</v>
      </c>
      <c r="S34" s="2" t="e">
        <f ca="1">_xll.BDP("FSLR US 01/20/17 P45 Equity", " VEGA_MID_RT")</f>
        <v>#NAME?</v>
      </c>
      <c r="T34" s="2" t="e">
        <f ca="1">_xll.BDP("FSLR US 01/20/17 P45 Equity", " THETA_MID_RT")</f>
        <v>#NAME?</v>
      </c>
      <c r="U34" s="21" t="e">
        <f ca="1">_xll.BDP("FSLR US 01/20/17 P45 Equity", " PX_POS_MULT_FACTOR")</f>
        <v>#NAME?</v>
      </c>
      <c r="V34" s="2" t="e">
        <f ca="1">_xll.BDP("FSLR US 01/20/17 P45 Equity", " OPT_UNDL_PX")</f>
        <v>#NAME?</v>
      </c>
      <c r="W34" s="28">
        <v>-4.8857715679110408E-3</v>
      </c>
      <c r="X34" s="28">
        <v>1.4371778077839554E-4</v>
      </c>
      <c r="Y34" s="28">
        <v>-4.9620333598093718E-6</v>
      </c>
      <c r="Z34" s="28">
        <v>7.7390468625893573E-5</v>
      </c>
    </row>
    <row r="35" spans="1:26" x14ac:dyDescent="0.4">
      <c r="A35" s="7"/>
      <c r="B35" s="8"/>
      <c r="C35" s="13"/>
      <c r="E35" s="2" t="s">
        <v>104</v>
      </c>
      <c r="F35" s="2" t="s">
        <v>11</v>
      </c>
      <c r="G35" s="2" t="s">
        <v>12</v>
      </c>
      <c r="H35" s="2" t="s">
        <v>13</v>
      </c>
      <c r="I35" s="2">
        <v>120</v>
      </c>
      <c r="J35" s="2" t="s">
        <v>43</v>
      </c>
      <c r="K35" s="2" t="s">
        <v>44</v>
      </c>
      <c r="L35" s="2">
        <v>1.57000005245</v>
      </c>
      <c r="M35" s="2" t="s">
        <v>16</v>
      </c>
      <c r="N35" s="2" t="s">
        <v>105</v>
      </c>
      <c r="O35" s="2" t="e">
        <f ca="1">_xll.BDP("GE US 01/20/17 P25 Equity", " BID")</f>
        <v>#NAME?</v>
      </c>
      <c r="P35" s="2" t="e">
        <f ca="1">_xll.BDP("GE US 01/20/17 P25 Equity", " ASK")</f>
        <v>#NAME?</v>
      </c>
      <c r="Q35" s="2" t="e">
        <f ca="1">_xll.BDP("GE US 01/20/17 P25 Equity", " DELTA_MID_RT")</f>
        <v>#NAME?</v>
      </c>
      <c r="R35" s="2" t="e">
        <f ca="1">_xll.BDP("GE US 01/20/17 P25 Equity", " GAMMA_MID_RT")</f>
        <v>#NAME?</v>
      </c>
      <c r="S35" s="2" t="e">
        <f ca="1">_xll.BDP("GE US 01/20/17 P25 Equity", " VEGA_MID_RT")</f>
        <v>#NAME?</v>
      </c>
      <c r="T35" s="2" t="e">
        <f ca="1">_xll.BDP("GE US 01/20/17 P25 Equity", " THETA_MID_RT")</f>
        <v>#NAME?</v>
      </c>
      <c r="U35" s="21" t="e">
        <f ca="1">_xll.BDP("GE US 01/20/17 P25 Equity", " PX_POS_MULT_FACTOR")</f>
        <v>#NAME?</v>
      </c>
      <c r="V35" s="2" t="e">
        <f ca="1">_xll.BDP("GE US 01/20/17 P25 Equity", " OPT_UNDL_PX")</f>
        <v>#NAME?</v>
      </c>
      <c r="W35" s="28">
        <v>-1.0501314643367753E-2</v>
      </c>
      <c r="X35" s="28">
        <v>6.6324531850675138E-4</v>
      </c>
      <c r="Y35" s="28">
        <v>-4.4568705321683875E-6</v>
      </c>
      <c r="Z35" s="28">
        <v>1.5655853852263702E-4</v>
      </c>
    </row>
    <row r="36" spans="1:26" x14ac:dyDescent="0.4">
      <c r="A36" s="7"/>
      <c r="B36" s="8"/>
      <c r="C36" s="13"/>
      <c r="E36" s="2" t="s">
        <v>106</v>
      </c>
      <c r="F36" s="2" t="s">
        <v>11</v>
      </c>
      <c r="G36" s="2" t="s">
        <v>12</v>
      </c>
      <c r="H36" s="2" t="s">
        <v>53</v>
      </c>
      <c r="I36" s="2">
        <v>400</v>
      </c>
      <c r="J36" s="2" t="s">
        <v>21</v>
      </c>
      <c r="K36" s="2" t="s">
        <v>22</v>
      </c>
      <c r="L36" s="2">
        <v>25.739999771100003</v>
      </c>
      <c r="M36" s="2" t="s">
        <v>16</v>
      </c>
      <c r="N36" s="2" t="s">
        <v>107</v>
      </c>
      <c r="O36" s="2" t="e">
        <f ca="1">_xll.BDP("GGP US Equity", " BID")</f>
        <v>#NAME?</v>
      </c>
      <c r="P36" s="2" t="e">
        <f ca="1">_xll.BDP("GGP US Equity", " ASK")</f>
        <v>#NAME?</v>
      </c>
      <c r="Q36" s="2">
        <v>1</v>
      </c>
      <c r="R36" s="2">
        <v>0</v>
      </c>
      <c r="S36" s="2">
        <v>0</v>
      </c>
      <c r="T36" s="2">
        <v>0</v>
      </c>
      <c r="U36" s="21" t="e">
        <f ca="1">_xll.BDP("GGP US Equity", " PX_POS_MULT_FACTOR")</f>
        <v>#NAME?</v>
      </c>
      <c r="V36" s="2" t="e">
        <f ca="1">_xll.BDP("GGP US Equity", " PX_MID")</f>
        <v>#NAME?</v>
      </c>
      <c r="W36" s="28">
        <v>1.7432883240667196E-3</v>
      </c>
      <c r="X36" s="28">
        <v>0</v>
      </c>
      <c r="Y36" s="28">
        <v>0</v>
      </c>
      <c r="Z36" s="28">
        <v>0</v>
      </c>
    </row>
    <row r="37" spans="1:26" x14ac:dyDescent="0.4">
      <c r="A37" s="7"/>
      <c r="B37" s="8"/>
      <c r="C37" s="13"/>
      <c r="E37" s="2" t="s">
        <v>108</v>
      </c>
      <c r="F37" s="2" t="s">
        <v>11</v>
      </c>
      <c r="G37" s="2" t="s">
        <v>12</v>
      </c>
      <c r="H37" s="2" t="s">
        <v>13</v>
      </c>
      <c r="I37" s="2">
        <v>86</v>
      </c>
      <c r="J37" s="2" t="s">
        <v>21</v>
      </c>
      <c r="K37" s="2" t="s">
        <v>22</v>
      </c>
      <c r="L37" s="2">
        <v>2.1099998951000001</v>
      </c>
      <c r="M37" s="2" t="s">
        <v>16</v>
      </c>
      <c r="N37" s="2" t="s">
        <v>109</v>
      </c>
      <c r="O37" s="2" t="e">
        <f ca="1">_xll.BDP("GGP US 01/20/17 P25 Equity", " BID")</f>
        <v>#NAME?</v>
      </c>
      <c r="P37" s="2" t="e">
        <f ca="1">_xll.BDP("GGP US 01/20/17 P25 Equity", " ASK")</f>
        <v>#NAME?</v>
      </c>
      <c r="Q37" s="2" t="e">
        <f ca="1">_xll.BDP("GGP US 01/20/17 P25 Equity", " DELTA_MID_RT")</f>
        <v>#NAME?</v>
      </c>
      <c r="R37" s="2" t="e">
        <f ca="1">_xll.BDP("GGP US 01/20/17 P25 Equity", " GAMMA_MID_RT")</f>
        <v>#NAME?</v>
      </c>
      <c r="S37" s="2" t="e">
        <f ca="1">_xll.BDP("GGP US 01/20/17 P25 Equity", " VEGA_MID_RT")</f>
        <v>#NAME?</v>
      </c>
      <c r="T37" s="2" t="e">
        <f ca="1">_xll.BDP("GGP US 01/20/17 P25 Equity", " THETA_MID_RT")</f>
        <v>#NAME?</v>
      </c>
      <c r="U37" s="21" t="e">
        <f ca="1">_xll.BDP("GGP US 01/20/17 P25 Equity", " PX_POS_MULT_FACTOR")</f>
        <v>#NAME?</v>
      </c>
      <c r="V37" s="2" t="e">
        <f ca="1">_xll.BDP("GGP US 01/20/17 P25 Equity", " OPT_UNDL_PX")</f>
        <v>#NAME?</v>
      </c>
      <c r="W37" s="28">
        <v>-1.3037075721048451E-2</v>
      </c>
      <c r="X37" s="28">
        <v>4.624086799046863E-4</v>
      </c>
      <c r="Y37" s="28">
        <v>-5.8799682287529775E-6</v>
      </c>
      <c r="Z37" s="28">
        <v>1.4163701350277999E-4</v>
      </c>
    </row>
    <row r="38" spans="1:26" x14ac:dyDescent="0.4">
      <c r="A38" s="4"/>
      <c r="B38" s="1"/>
      <c r="C38" s="12"/>
      <c r="E38" s="2" t="s">
        <v>110</v>
      </c>
      <c r="F38" s="2" t="s">
        <v>11</v>
      </c>
      <c r="G38" s="2" t="s">
        <v>12</v>
      </c>
      <c r="H38" s="2" t="s">
        <v>13</v>
      </c>
      <c r="I38" s="2">
        <v>2</v>
      </c>
      <c r="J38" s="2" t="s">
        <v>14</v>
      </c>
      <c r="K38" s="2" t="s">
        <v>15</v>
      </c>
      <c r="L38" s="2">
        <v>50.5</v>
      </c>
      <c r="M38" s="2" t="s">
        <v>16</v>
      </c>
      <c r="N38" s="2" t="s">
        <v>111</v>
      </c>
      <c r="O38" s="2" t="e">
        <f ca="1">_xll.BDP("GOOGL US 01/20/17 P620 Equity", " BID")</f>
        <v>#NAME?</v>
      </c>
      <c r="P38" s="2" t="e">
        <f ca="1">_xll.BDP("GOOGL US 01/20/17 P620 Equity", " ASK")</f>
        <v>#NAME?</v>
      </c>
      <c r="Q38" s="2" t="e">
        <f ca="1">_xll.BDP("GOOGL US 01/20/17 P620 Equity", " DELTA_MID_RT")</f>
        <v>#NAME?</v>
      </c>
      <c r="R38" s="2" t="e">
        <f ca="1">_xll.BDP("GOOGL US 01/20/17 P620 Equity", " GAMMA_MID_RT")</f>
        <v>#NAME?</v>
      </c>
      <c r="S38" s="2" t="e">
        <f ca="1">_xll.BDP("GOOGL US 01/20/17 P620 Equity", " VEGA_MID_RT")</f>
        <v>#NAME?</v>
      </c>
      <c r="T38" s="2" t="e">
        <f ca="1">_xll.BDP("GOOGL US 01/20/17 P620 Equity", " THETA_MID_RT")</f>
        <v>#NAME?</v>
      </c>
      <c r="U38" s="21" t="e">
        <f ca="1">_xll.BDP("GOOGL US 01/20/17 P620 Equity", " PX_POS_MULT_FACTOR")</f>
        <v>#NAME?</v>
      </c>
      <c r="V38" s="2" t="e">
        <f ca="1">_xll.BDP("GOOGL US 01/20/17 P620 Equity", " OPT_UNDL_PX")</f>
        <v>#NAME?</v>
      </c>
      <c r="W38" s="28">
        <v>-4.0641166462271642E-3</v>
      </c>
      <c r="X38" s="28">
        <v>2.025827723590151E-4</v>
      </c>
      <c r="Y38" s="28">
        <v>-2.3320095313741067E-6</v>
      </c>
      <c r="Z38" s="28">
        <v>6.3544718030182688E-5</v>
      </c>
    </row>
    <row r="39" spans="1:26" x14ac:dyDescent="0.4">
      <c r="A39" s="4"/>
      <c r="B39" s="1"/>
      <c r="C39" s="12"/>
      <c r="E39" s="2" t="s">
        <v>112</v>
      </c>
      <c r="F39" s="2" t="s">
        <v>11</v>
      </c>
      <c r="G39" s="2" t="s">
        <v>12</v>
      </c>
      <c r="H39" s="2" t="s">
        <v>13</v>
      </c>
      <c r="I39" s="2">
        <v>250</v>
      </c>
      <c r="J39" s="2" t="s">
        <v>21</v>
      </c>
      <c r="K39" s="2" t="s">
        <v>22</v>
      </c>
      <c r="L39" s="2">
        <v>0.94999998807899999</v>
      </c>
      <c r="M39" s="2" t="s">
        <v>16</v>
      </c>
      <c r="N39" s="2" t="s">
        <v>113</v>
      </c>
      <c r="O39" s="2" t="e">
        <f ca="1">_xll.BDP("HBAN US 01/20/17 P10 Equity", " BID")</f>
        <v>#NAME?</v>
      </c>
      <c r="P39" s="2" t="e">
        <f ca="1">_xll.BDP("HBAN US 01/20/17 P10 Equity", " ASK")</f>
        <v>#NAME?</v>
      </c>
      <c r="Q39" s="2" t="e">
        <f ca="1">_xll.BDP("HBAN US 01/20/17 P10 Equity", " DELTA_MID_RT")</f>
        <v>#NAME?</v>
      </c>
      <c r="R39" s="2" t="e">
        <f ca="1">_xll.BDP("HBAN US 01/20/17 P10 Equity", " GAMMA_MID_RT")</f>
        <v>#NAME?</v>
      </c>
      <c r="S39" s="2" t="e">
        <f ca="1">_xll.BDP("HBAN US 01/20/17 P10 Equity", " VEGA_MID_RT")</f>
        <v>#NAME?</v>
      </c>
      <c r="T39" s="2" t="e">
        <f ca="1">_xll.BDP("HBAN US 01/20/17 P10 Equity", " THETA_MID_RT")</f>
        <v>#NAME?</v>
      </c>
      <c r="U39" s="21" t="e">
        <f ca="1">_xll.BDP("HBAN US 01/20/17 P10 Equity", " PX_POS_MULT_FACTOR")</f>
        <v>#NAME?</v>
      </c>
      <c r="V39" s="2" t="e">
        <f ca="1">_xll.BDP("HBAN US 01/20/17 P10 Equity", " OPT_UNDL_PX")</f>
        <v>#NAME?</v>
      </c>
      <c r="W39" s="28">
        <v>-1.3071784352660843E-2</v>
      </c>
      <c r="X39" s="28">
        <v>5.7249444003177122E-4</v>
      </c>
      <c r="Y39" s="28">
        <v>-3.8840349483717227E-6</v>
      </c>
      <c r="Z39" s="28">
        <v>1.5768069896743446E-4</v>
      </c>
    </row>
    <row r="40" spans="1:26" x14ac:dyDescent="0.4">
      <c r="A40" s="4"/>
      <c r="B40" s="1"/>
      <c r="C40" s="12"/>
      <c r="E40" s="2" t="s">
        <v>114</v>
      </c>
      <c r="F40" s="2" t="s">
        <v>11</v>
      </c>
      <c r="G40" s="2" t="s">
        <v>12</v>
      </c>
      <c r="H40" s="2" t="s">
        <v>13</v>
      </c>
      <c r="I40" s="2">
        <v>42</v>
      </c>
      <c r="J40" s="2" t="s">
        <v>33</v>
      </c>
      <c r="K40" s="2" t="s">
        <v>34</v>
      </c>
      <c r="L40" s="2">
        <v>7.3392901420600012</v>
      </c>
      <c r="M40" s="2" t="s">
        <v>16</v>
      </c>
      <c r="N40" s="2" t="s">
        <v>115</v>
      </c>
      <c r="O40" s="2" t="e">
        <f ca="1">_xll.BDP("HD US 01/20/17 P110 Equity", " BID")</f>
        <v>#NAME?</v>
      </c>
      <c r="P40" s="2" t="e">
        <f ca="1">_xll.BDP("HD US 01/20/17 P110 Equity", " ASK")</f>
        <v>#NAME?</v>
      </c>
      <c r="Q40" s="2" t="e">
        <f ca="1">_xll.BDP("HD US 01/20/17 P110 Equity", " DELTA_MID_RT")</f>
        <v>#NAME?</v>
      </c>
      <c r="R40" s="2" t="e">
        <f ca="1">_xll.BDP("HD US 01/20/17 P110 Equity", " GAMMA_MID_RT")</f>
        <v>#NAME?</v>
      </c>
      <c r="S40" s="2" t="e">
        <f ca="1">_xll.BDP("HD US 01/20/17 P110 Equity", " VEGA_MID_RT")</f>
        <v>#NAME?</v>
      </c>
      <c r="T40" s="2" t="e">
        <f ca="1">_xll.BDP("HD US 01/20/17 P110 Equity", " THETA_MID_RT")</f>
        <v>#NAME?</v>
      </c>
      <c r="U40" s="21" t="e">
        <f ca="1">_xll.BDP("HD US 01/20/17 P110 Equity", " PX_POS_MULT_FACTOR")</f>
        <v>#NAME?</v>
      </c>
      <c r="V40" s="2" t="e">
        <f ca="1">_xll.BDP("HD US 01/20/17 P110 Equity", " OPT_UNDL_PX")</f>
        <v>#NAME?</v>
      </c>
      <c r="W40" s="28">
        <v>-1.781522446703733E-2</v>
      </c>
      <c r="X40" s="28">
        <v>9.6688356791104044E-4</v>
      </c>
      <c r="Y40" s="28">
        <v>-8.5627958697378857E-6</v>
      </c>
      <c r="Z40" s="28">
        <v>2.5468146147736298E-4</v>
      </c>
    </row>
    <row r="41" spans="1:26" x14ac:dyDescent="0.4">
      <c r="A41" s="4"/>
      <c r="B41" s="1"/>
      <c r="C41" s="12"/>
      <c r="E41" s="2" t="s">
        <v>116</v>
      </c>
      <c r="F41" s="2" t="s">
        <v>11</v>
      </c>
      <c r="G41" s="2" t="s">
        <v>12</v>
      </c>
      <c r="H41" s="2" t="s">
        <v>13</v>
      </c>
      <c r="I41" s="2">
        <v>45</v>
      </c>
      <c r="J41" s="2" t="s">
        <v>21</v>
      </c>
      <c r="K41" s="2" t="s">
        <v>22</v>
      </c>
      <c r="L41" s="2">
        <v>3.2679999669400002</v>
      </c>
      <c r="M41" s="2" t="s">
        <v>16</v>
      </c>
      <c r="N41" s="2" t="s">
        <v>117</v>
      </c>
      <c r="O41" s="2" t="e">
        <f ca="1">_xll.BDP("HIG US 01/20/17 P42 Equity", " BID")</f>
        <v>#NAME?</v>
      </c>
      <c r="P41" s="2" t="e">
        <f ca="1">_xll.BDP("HIG US 01/20/17 P42 Equity", " ASK")</f>
        <v>#NAME?</v>
      </c>
      <c r="Q41" s="2" t="e">
        <f ca="1">_xll.BDP("HIG US 01/20/17 P42 Equity", " DELTA_MID_RT")</f>
        <v>#NAME?</v>
      </c>
      <c r="R41" s="2" t="e">
        <f ca="1">_xll.BDP("HIG US 01/20/17 P42 Equity", " GAMMA_MID_RT")</f>
        <v>#NAME?</v>
      </c>
      <c r="S41" s="2" t="e">
        <f ca="1">_xll.BDP("HIG US 01/20/17 P42 Equity", " VEGA_MID_RT")</f>
        <v>#NAME?</v>
      </c>
      <c r="T41" s="2" t="e">
        <f ca="1">_xll.BDP("HIG US 01/20/17 P42 Equity", " THETA_MID_RT")</f>
        <v>#NAME?</v>
      </c>
      <c r="U41" s="21" t="e">
        <f ca="1">_xll.BDP("HIG US 01/20/17 P42 Equity", " PX_POS_MULT_FACTOR")</f>
        <v>#NAME?</v>
      </c>
      <c r="V41" s="2" t="e">
        <f ca="1">_xll.BDP("HIG US 01/20/17 P42 Equity", " OPT_UNDL_PX")</f>
        <v>#NAME?</v>
      </c>
      <c r="W41" s="28">
        <v>-1.2366821845115171E-2</v>
      </c>
      <c r="X41" s="28">
        <v>4.9287932406671953E-4</v>
      </c>
      <c r="Y41" s="28">
        <v>-3.7601270849880853E-6</v>
      </c>
      <c r="Z41" s="28">
        <v>1.2412208101667991E-4</v>
      </c>
    </row>
    <row r="42" spans="1:26" x14ac:dyDescent="0.4">
      <c r="A42" s="4"/>
      <c r="B42" s="1"/>
      <c r="C42" s="12"/>
      <c r="E42" s="2" t="s">
        <v>118</v>
      </c>
      <c r="F42" s="2" t="s">
        <v>11</v>
      </c>
      <c r="G42" s="2" t="s">
        <v>12</v>
      </c>
      <c r="H42" s="2" t="s">
        <v>13</v>
      </c>
      <c r="I42" s="2">
        <v>33</v>
      </c>
      <c r="J42" s="2" t="s">
        <v>14</v>
      </c>
      <c r="K42" s="2" t="s">
        <v>15</v>
      </c>
      <c r="L42" s="2">
        <v>4.4000000953699994</v>
      </c>
      <c r="M42" s="2" t="s">
        <v>16</v>
      </c>
      <c r="N42" s="2" t="s">
        <v>119</v>
      </c>
      <c r="O42" s="2" t="e">
        <f ca="1">_xll.BDP("INTU US 01/20/17 P80 Equity", " BID")</f>
        <v>#NAME?</v>
      </c>
      <c r="P42" s="2" t="e">
        <f ca="1">_xll.BDP("INTU US 01/20/17 P80 Equity", " ASK")</f>
        <v>#NAME?</v>
      </c>
      <c r="Q42" s="2" t="e">
        <f ca="1">_xll.BDP("INTU US 01/20/17 P80 Equity", " DELTA_MID_RT")</f>
        <v>#NAME?</v>
      </c>
      <c r="R42" s="2" t="e">
        <f ca="1">_xll.BDP("INTU US 01/20/17 P80 Equity", " GAMMA_MID_RT")</f>
        <v>#NAME?</v>
      </c>
      <c r="S42" s="2" t="e">
        <f ca="1">_xll.BDP("INTU US 01/20/17 P80 Equity", " VEGA_MID_RT")</f>
        <v>#NAME?</v>
      </c>
      <c r="T42" s="2" t="e">
        <f ca="1">_xll.BDP("INTU US 01/20/17 P80 Equity", " THETA_MID_RT")</f>
        <v>#NAME?</v>
      </c>
      <c r="U42" s="21" t="e">
        <f ca="1">_xll.BDP("INTU US 01/20/17 P80 Equity", " PX_POS_MULT_FACTOR")</f>
        <v>#NAME?</v>
      </c>
      <c r="V42" s="2" t="e">
        <f ca="1">_xll.BDP("INTU US 01/20/17 P80 Equity", " OPT_UNDL_PX")</f>
        <v>#NAME?</v>
      </c>
      <c r="W42" s="28">
        <v>-1.0362039411278792E-2</v>
      </c>
      <c r="X42" s="28">
        <v>4.7733382875297866E-4</v>
      </c>
      <c r="Y42" s="28">
        <v>-5.2265289912629068E-6</v>
      </c>
      <c r="Z42" s="28">
        <v>1.4897285146942018E-4</v>
      </c>
    </row>
    <row r="43" spans="1:26" x14ac:dyDescent="0.4">
      <c r="A43" s="4"/>
      <c r="B43" s="1"/>
      <c r="C43" s="12"/>
      <c r="E43" s="2" t="s">
        <v>120</v>
      </c>
      <c r="F43" s="2" t="s">
        <v>11</v>
      </c>
      <c r="G43" s="2" t="s">
        <v>12</v>
      </c>
      <c r="H43" s="2" t="s">
        <v>13</v>
      </c>
      <c r="I43" s="2">
        <v>8</v>
      </c>
      <c r="J43" s="2" t="s">
        <v>27</v>
      </c>
      <c r="K43" s="2" t="s">
        <v>28</v>
      </c>
      <c r="L43" s="2">
        <v>33.900001525900002</v>
      </c>
      <c r="M43" s="2" t="s">
        <v>16</v>
      </c>
      <c r="N43" s="2" t="s">
        <v>121</v>
      </c>
      <c r="O43" s="2" t="e">
        <f ca="1">_xll.BDP("ISRG US 01/20/17 P410 Equity", " BID")</f>
        <v>#NAME?</v>
      </c>
      <c r="P43" s="2" t="e">
        <f ca="1">_xll.BDP("ISRG US 01/20/17 P410 Equity", " ASK")</f>
        <v>#NAME?</v>
      </c>
      <c r="Q43" s="2" t="e">
        <f ca="1">_xll.BDP("ISRG US 01/20/17 P410 Equity", " DELTA_MID_RT")</f>
        <v>#NAME?</v>
      </c>
      <c r="R43" s="2" t="e">
        <f ca="1">_xll.BDP("ISRG US 01/20/17 P410 Equity", " GAMMA_MID_RT")</f>
        <v>#NAME?</v>
      </c>
      <c r="S43" s="2" t="e">
        <f ca="1">_xll.BDP("ISRG US 01/20/17 P410 Equity", " VEGA_MID_RT")</f>
        <v>#NAME?</v>
      </c>
      <c r="T43" s="2" t="e">
        <f ca="1">_xll.BDP("ISRG US 01/20/17 P410 Equity", " THETA_MID_RT")</f>
        <v>#NAME?</v>
      </c>
      <c r="U43" s="21" t="e">
        <f ca="1">_xll.BDP("ISRG US 01/20/17 P410 Equity", " PX_POS_MULT_FACTOR")</f>
        <v>#NAME?</v>
      </c>
      <c r="V43" s="2" t="e">
        <f ca="1">_xll.BDP("ISRG US 01/20/17 P410 Equity", " OPT_UNDL_PX")</f>
        <v>#NAME?</v>
      </c>
      <c r="W43" s="28">
        <v>-9.3774194478157252E-3</v>
      </c>
      <c r="X43" s="28">
        <v>4.6899755742652895E-4</v>
      </c>
      <c r="Y43" s="28">
        <v>-6.0971564733915806E-6</v>
      </c>
      <c r="Z43" s="28">
        <v>1.5611145353455123E-4</v>
      </c>
    </row>
    <row r="44" spans="1:26" x14ac:dyDescent="0.4">
      <c r="A44" s="4"/>
      <c r="B44" s="1"/>
      <c r="C44" s="12"/>
      <c r="E44" s="2" t="s">
        <v>124</v>
      </c>
      <c r="F44" s="2" t="s">
        <v>11</v>
      </c>
      <c r="G44" s="2" t="s">
        <v>12</v>
      </c>
      <c r="H44" s="2" t="s">
        <v>13</v>
      </c>
      <c r="I44" s="2">
        <v>91</v>
      </c>
      <c r="J44" s="2" t="s">
        <v>66</v>
      </c>
      <c r="K44" s="2" t="s">
        <v>67</v>
      </c>
      <c r="L44" s="2">
        <v>2.0442900657700003</v>
      </c>
      <c r="M44" s="2" t="s">
        <v>16</v>
      </c>
      <c r="N44" s="2" t="s">
        <v>125</v>
      </c>
      <c r="O44" s="2" t="e">
        <f ca="1">_xll.BDP("KO US 01/20/17 P38 Equity", " BID")</f>
        <v>#NAME?</v>
      </c>
      <c r="P44" s="2" t="e">
        <f ca="1">_xll.BDP("KO US 01/20/17 P38 Equity", " ASK")</f>
        <v>#NAME?</v>
      </c>
      <c r="Q44" s="2" t="e">
        <f ca="1">_xll.BDP("KO US 01/20/17 P38 Equity", " DELTA_MID_RT")</f>
        <v>#NAME?</v>
      </c>
      <c r="R44" s="2" t="e">
        <f ca="1">_xll.BDP("KO US 01/20/17 P38 Equity", " GAMMA_MID_RT")</f>
        <v>#NAME?</v>
      </c>
      <c r="S44" s="2" t="e">
        <f ca="1">_xll.BDP("KO US 01/20/17 P38 Equity", " VEGA_MID_RT")</f>
        <v>#NAME?</v>
      </c>
      <c r="T44" s="2" t="e">
        <f ca="1">_xll.BDP("KO US 01/20/17 P38 Equity", " THETA_MID_RT")</f>
        <v>#NAME?</v>
      </c>
      <c r="U44" s="21" t="e">
        <f ca="1">_xll.BDP("KO US 01/20/17 P38 Equity", " PX_POS_MULT_FACTOR")</f>
        <v>#NAME?</v>
      </c>
      <c r="V44" s="2" t="e">
        <f ca="1">_xll.BDP("KO US 01/20/17 P38 Equity", " OPT_UNDL_PX")</f>
        <v>#NAME?</v>
      </c>
      <c r="W44" s="28">
        <v>-1.4565508644162034E-2</v>
      </c>
      <c r="X44" s="28">
        <v>1.0537033258141383E-3</v>
      </c>
      <c r="Y44" s="28">
        <v>-4.9829547259729939E-6</v>
      </c>
      <c r="Z44" s="28">
        <v>1.9643423351866564E-4</v>
      </c>
    </row>
    <row r="45" spans="1:26" x14ac:dyDescent="0.4">
      <c r="A45" s="11"/>
      <c r="B45" s="10"/>
      <c r="C45" s="14"/>
      <c r="E45" s="2" t="s">
        <v>248</v>
      </c>
      <c r="F45" s="2" t="s">
        <v>11</v>
      </c>
      <c r="G45" s="2" t="s">
        <v>12</v>
      </c>
      <c r="H45" s="2" t="s">
        <v>53</v>
      </c>
      <c r="I45" s="2">
        <v>1000</v>
      </c>
      <c r="J45" s="2" t="s">
        <v>43</v>
      </c>
      <c r="K45" s="2" t="s">
        <v>44</v>
      </c>
      <c r="L45" s="2">
        <v>82.025001525899995</v>
      </c>
      <c r="M45" s="2" t="s">
        <v>16</v>
      </c>
      <c r="N45" s="2" t="s">
        <v>249</v>
      </c>
      <c r="O45" s="2" t="e">
        <f ca="1">_xll.BDP("KSU US Equity", " BID")</f>
        <v>#NAME?</v>
      </c>
      <c r="P45" s="2" t="e">
        <f ca="1">_xll.BDP("KSU US Equity", " ASK")</f>
        <v>#NAME?</v>
      </c>
      <c r="Q45" s="2">
        <v>1</v>
      </c>
      <c r="R45" s="2">
        <v>0</v>
      </c>
      <c r="S45" s="2">
        <v>0</v>
      </c>
      <c r="T45" s="2">
        <v>0</v>
      </c>
      <c r="U45" s="21" t="e">
        <f ca="1">_xll.BDP("KSU US Equity", " PX_POS_MULT_FACTOR")</f>
        <v>#NAME?</v>
      </c>
      <c r="V45" s="2" t="e">
        <f ca="1">_xll.BDP("KSU US Equity", " PX_MID")</f>
        <v>#NAME?</v>
      </c>
      <c r="W45" s="28">
        <v>1.1824463860206512E-2</v>
      </c>
      <c r="X45" s="28">
        <v>0</v>
      </c>
      <c r="Y45" s="28">
        <v>0</v>
      </c>
      <c r="Z45" s="28">
        <v>0</v>
      </c>
    </row>
    <row r="46" spans="1:26" x14ac:dyDescent="0.4">
      <c r="E46" s="2" t="s">
        <v>126</v>
      </c>
      <c r="F46" s="2" t="s">
        <v>11</v>
      </c>
      <c r="G46" s="2" t="s">
        <v>12</v>
      </c>
      <c r="H46" s="2" t="s">
        <v>13</v>
      </c>
      <c r="I46" s="2">
        <v>29</v>
      </c>
      <c r="J46" s="2" t="s">
        <v>33</v>
      </c>
      <c r="K46" s="2" t="s">
        <v>34</v>
      </c>
      <c r="L46" s="2">
        <v>7.3000001907300005</v>
      </c>
      <c r="M46" s="2" t="s">
        <v>16</v>
      </c>
      <c r="N46" s="2" t="s">
        <v>127</v>
      </c>
      <c r="O46" s="2" t="e">
        <f ca="1">_xll.BDP("LB US 01/20/17 P85.5 Equity", " BID")</f>
        <v>#NAME?</v>
      </c>
      <c r="P46" s="2" t="e">
        <f ca="1">_xll.BDP("LB US 01/20/17 P85.5 Equity", " ASK")</f>
        <v>#NAME?</v>
      </c>
      <c r="Q46" s="2" t="e">
        <f ca="1">_xll.BDP("LB US 01/20/17 P85.5 Equity", " DELTA_MID_RT")</f>
        <v>#NAME?</v>
      </c>
      <c r="R46" s="2" t="e">
        <f ca="1">_xll.BDP("LB US 01/20/17 P85.5 Equity", " GAMMA_MID_RT")</f>
        <v>#NAME?</v>
      </c>
      <c r="S46" s="2" t="e">
        <f ca="1">_xll.BDP("LB US 01/20/17 P85.5 Equity", " VEGA_MID_RT")</f>
        <v>#NAME?</v>
      </c>
      <c r="T46" s="2" t="e">
        <f ca="1">_xll.BDP("LB US 01/20/17 P85.5 Equity", " THETA_MID_RT")</f>
        <v>#NAME?</v>
      </c>
      <c r="U46" s="21" t="e">
        <f ca="1">_xll.BDP("LB US 01/20/17 P85.5 Equity", " PX_POS_MULT_FACTOR")</f>
        <v>#NAME?</v>
      </c>
      <c r="V46" s="2" t="e">
        <f ca="1">_xll.BDP("LB US 01/20/17 P85.5 Equity", " OPT_UNDL_PX")</f>
        <v>#NAME?</v>
      </c>
      <c r="W46" s="28">
        <v>-1.2828261641938047E-2</v>
      </c>
      <c r="X46" s="28">
        <v>5.2851934741858617E-4</v>
      </c>
      <c r="Y46" s="28">
        <v>-5.8796981731532959E-6</v>
      </c>
      <c r="Z46" s="28">
        <v>1.5598038125496427E-4</v>
      </c>
    </row>
    <row r="47" spans="1:26" x14ac:dyDescent="0.4">
      <c r="E47" s="2" t="s">
        <v>128</v>
      </c>
      <c r="F47" s="2" t="s">
        <v>11</v>
      </c>
      <c r="G47" s="2" t="s">
        <v>12</v>
      </c>
      <c r="H47" s="2" t="s">
        <v>13</v>
      </c>
      <c r="I47" s="2">
        <v>44</v>
      </c>
      <c r="J47" s="2" t="s">
        <v>33</v>
      </c>
      <c r="K47" s="2" t="s">
        <v>34</v>
      </c>
      <c r="L47" s="2">
        <v>4.63523006439</v>
      </c>
      <c r="M47" s="2" t="s">
        <v>16</v>
      </c>
      <c r="N47" s="2" t="s">
        <v>129</v>
      </c>
      <c r="O47" s="2" t="e">
        <f ca="1">_xll.BDP("LOW US 01/20/17 P65 Equity", " BID")</f>
        <v>#NAME?</v>
      </c>
      <c r="P47" s="2" t="e">
        <f ca="1">_xll.BDP("LOW US 01/20/17 P65 Equity", " ASK")</f>
        <v>#NAME?</v>
      </c>
      <c r="Q47" s="2" t="e">
        <f ca="1">_xll.BDP("LOW US 01/20/17 P65 Equity", " DELTA_MID_RT")</f>
        <v>#NAME?</v>
      </c>
      <c r="R47" s="2" t="e">
        <f ca="1">_xll.BDP("LOW US 01/20/17 P65 Equity", " GAMMA_MID_RT")</f>
        <v>#NAME?</v>
      </c>
      <c r="S47" s="2" t="e">
        <f ca="1">_xll.BDP("LOW US 01/20/17 P65 Equity", " VEGA_MID_RT")</f>
        <v>#NAME?</v>
      </c>
      <c r="T47" s="2" t="e">
        <f ca="1">_xll.BDP("LOW US 01/20/17 P65 Equity", " THETA_MID_RT")</f>
        <v>#NAME?</v>
      </c>
      <c r="U47" s="21" t="e">
        <f ca="1">_xll.BDP("LOW US 01/20/17 P65 Equity", " PX_POS_MULT_FACTOR")</f>
        <v>#NAME?</v>
      </c>
      <c r="V47" s="2" t="e">
        <f ca="1">_xll.BDP("LOW US 01/20/17 P65 Equity", " OPT_UNDL_PX")</f>
        <v>#NAME?</v>
      </c>
      <c r="W47" s="28">
        <v>-1.2314432444797459E-2</v>
      </c>
      <c r="X47" s="28">
        <v>6.0957572740270047E-4</v>
      </c>
      <c r="Y47" s="28">
        <v>-5.6043208895949167E-6</v>
      </c>
      <c r="Z47" s="28">
        <v>1.6605439237490072E-4</v>
      </c>
    </row>
    <row r="48" spans="1:26" x14ac:dyDescent="0.4">
      <c r="E48" s="2" t="s">
        <v>130</v>
      </c>
      <c r="F48" s="2" t="s">
        <v>11</v>
      </c>
      <c r="G48" s="2" t="s">
        <v>12</v>
      </c>
      <c r="H48" s="2" t="s">
        <v>13</v>
      </c>
      <c r="I48" s="2">
        <v>34</v>
      </c>
      <c r="J48" s="2" t="s">
        <v>14</v>
      </c>
      <c r="K48" s="2" t="s">
        <v>15</v>
      </c>
      <c r="L48" s="2">
        <v>5.5500001907300005</v>
      </c>
      <c r="M48" s="2" t="s">
        <v>16</v>
      </c>
      <c r="N48" s="2" t="s">
        <v>131</v>
      </c>
      <c r="O48" s="2" t="e">
        <f ca="1">_xll.BDP("MA US 01/20/17 P85 Equity", " BID")</f>
        <v>#NAME?</v>
      </c>
      <c r="P48" s="2" t="e">
        <f ca="1">_xll.BDP("MA US 01/20/17 P85 Equity", " ASK")</f>
        <v>#NAME?</v>
      </c>
      <c r="Q48" s="2" t="e">
        <f ca="1">_xll.BDP("MA US 01/20/17 P85 Equity", " DELTA_MID_RT")</f>
        <v>#NAME?</v>
      </c>
      <c r="R48" s="2" t="e">
        <f ca="1">_xll.BDP("MA US 01/20/17 P85 Equity", " GAMMA_MID_RT")</f>
        <v>#NAME?</v>
      </c>
      <c r="S48" s="2" t="e">
        <f ca="1">_xll.BDP("MA US 01/20/17 P85 Equity", " VEGA_MID_RT")</f>
        <v>#NAME?</v>
      </c>
      <c r="T48" s="2" t="e">
        <f ca="1">_xll.BDP("MA US 01/20/17 P85 Equity", " THETA_MID_RT")</f>
        <v>#NAME?</v>
      </c>
      <c r="U48" s="21" t="e">
        <f ca="1">_xll.BDP("MA US 01/20/17 P85 Equity", " PX_POS_MULT_FACTOR")</f>
        <v>#NAME?</v>
      </c>
      <c r="V48" s="2" t="e">
        <f ca="1">_xll.BDP("MA US 01/20/17 P85 Equity", " OPT_UNDL_PX")</f>
        <v>#NAME?</v>
      </c>
      <c r="W48" s="28">
        <v>-1.2309031266719618E-2</v>
      </c>
      <c r="X48" s="28">
        <v>6.0888604289118344E-4</v>
      </c>
      <c r="Y48" s="28">
        <v>-5.5048133439237487E-6</v>
      </c>
      <c r="Z48" s="28">
        <v>1.6726595710881656E-4</v>
      </c>
    </row>
    <row r="49" spans="1:26" x14ac:dyDescent="0.4">
      <c r="E49" s="2" t="s">
        <v>132</v>
      </c>
      <c r="F49" s="2" t="s">
        <v>11</v>
      </c>
      <c r="G49" s="2" t="s">
        <v>12</v>
      </c>
      <c r="H49" s="2" t="s">
        <v>13</v>
      </c>
      <c r="I49" s="2">
        <v>44</v>
      </c>
      <c r="J49" s="2" t="s">
        <v>43</v>
      </c>
      <c r="K49" s="2" t="s">
        <v>44</v>
      </c>
      <c r="L49" s="2">
        <v>3.5999999046300006</v>
      </c>
      <c r="M49" s="2" t="s">
        <v>16</v>
      </c>
      <c r="N49" s="2" t="s">
        <v>133</v>
      </c>
      <c r="O49" s="2" t="e">
        <f ca="1">_xll.BDP("MAS US 01/20/17 P30 Equity", " BID")</f>
        <v>#NAME?</v>
      </c>
      <c r="P49" s="2" t="e">
        <f ca="1">_xll.BDP("MAS US 01/20/17 P30 Equity", " ASK")</f>
        <v>#NAME?</v>
      </c>
      <c r="Q49" s="2" t="e">
        <f ca="1">_xll.BDP("MAS US 01/20/17 P30 Equity", " DELTA_MID_RT")</f>
        <v>#NAME?</v>
      </c>
      <c r="R49" s="2" t="e">
        <f ca="1">_xll.BDP("MAS US 01/20/17 P30 Equity", " GAMMA_MID_RT")</f>
        <v>#NAME?</v>
      </c>
      <c r="S49" s="2" t="e">
        <f ca="1">_xll.BDP("MAS US 01/20/17 P30 Equity", " VEGA_MID_RT")</f>
        <v>#NAME?</v>
      </c>
      <c r="T49" s="2" t="e">
        <f ca="1">_xll.BDP("MAS US 01/20/17 P30 Equity", " THETA_MID_RT")</f>
        <v>#NAME?</v>
      </c>
      <c r="U49" s="21" t="e">
        <f ca="1">_xll.BDP("MAS US 01/20/17 P30 Equity", " PX_POS_MULT_FACTOR")</f>
        <v>#NAME?</v>
      </c>
      <c r="V49" s="2" t="e">
        <f ca="1">_xll.BDP("MAS US 01/20/17 P30 Equity", " OPT_UNDL_PX")</f>
        <v>#NAME?</v>
      </c>
      <c r="W49" s="28">
        <v>-1.0390192152501984E-2</v>
      </c>
      <c r="X49" s="28">
        <v>2.9264494360603657E-4</v>
      </c>
      <c r="Y49" s="28">
        <v>-2.8783478951548853E-6</v>
      </c>
      <c r="Z49" s="28">
        <v>8.1055059571088163E-5</v>
      </c>
    </row>
    <row r="50" spans="1:26" x14ac:dyDescent="0.4">
      <c r="E50" s="2" t="s">
        <v>134</v>
      </c>
      <c r="F50" s="2" t="s">
        <v>11</v>
      </c>
      <c r="G50" s="2" t="s">
        <v>12</v>
      </c>
      <c r="H50" s="2" t="s">
        <v>13</v>
      </c>
      <c r="I50" s="2">
        <v>30</v>
      </c>
      <c r="J50" s="2" t="s">
        <v>66</v>
      </c>
      <c r="K50" s="2" t="s">
        <v>67</v>
      </c>
      <c r="L50" s="2">
        <v>12</v>
      </c>
      <c r="M50" s="2" t="s">
        <v>16</v>
      </c>
      <c r="N50" s="2" t="s">
        <v>135</v>
      </c>
      <c r="O50" s="2" t="e">
        <f ca="1">_xll.BDP("MNST US 01/20/17 P135 Equity", " BID")</f>
        <v>#NAME?</v>
      </c>
      <c r="P50" s="2" t="e">
        <f ca="1">_xll.BDP("MNST US 01/20/17 P135 Equity", " ASK")</f>
        <v>#NAME?</v>
      </c>
      <c r="Q50" s="2" t="e">
        <f ca="1">_xll.BDP("MNST US 01/20/17 P135 Equity", " DELTA_MID_RT")</f>
        <v>#NAME?</v>
      </c>
      <c r="R50" s="2" t="e">
        <f ca="1">_xll.BDP("MNST US 01/20/17 P135 Equity", " GAMMA_MID_RT")</f>
        <v>#NAME?</v>
      </c>
      <c r="S50" s="2" t="e">
        <f ca="1">_xll.BDP("MNST US 01/20/17 P135 Equity", " VEGA_MID_RT")</f>
        <v>#NAME?</v>
      </c>
      <c r="T50" s="2" t="e">
        <f ca="1">_xll.BDP("MNST US 01/20/17 P135 Equity", " THETA_MID_RT")</f>
        <v>#NAME?</v>
      </c>
      <c r="U50" s="21" t="e">
        <f ca="1">_xll.BDP("MNST US 01/20/17 P135 Equity", " PX_POS_MULT_FACTOR")</f>
        <v>#NAME?</v>
      </c>
      <c r="V50" s="2" t="e">
        <f ca="1">_xll.BDP("MNST US 01/20/17 P135 Equity", " OPT_UNDL_PX")</f>
        <v>#NAME?</v>
      </c>
      <c r="W50" s="28">
        <v>-2.1841970054011117E-2</v>
      </c>
      <c r="X50" s="28">
        <v>7.7907098649721994E-4</v>
      </c>
      <c r="Y50" s="28">
        <v>-9.9478951548848293E-6</v>
      </c>
      <c r="Z50" s="28">
        <v>2.5803621922160442E-4</v>
      </c>
    </row>
    <row r="51" spans="1:26" x14ac:dyDescent="0.4">
      <c r="E51" s="2" t="s">
        <v>136</v>
      </c>
      <c r="F51" s="2" t="s">
        <v>11</v>
      </c>
      <c r="G51" s="2" t="s">
        <v>12</v>
      </c>
      <c r="H51" s="2" t="s">
        <v>13</v>
      </c>
      <c r="I51" s="2">
        <v>50</v>
      </c>
      <c r="J51" s="2" t="s">
        <v>66</v>
      </c>
      <c r="K51" s="2" t="s">
        <v>67</v>
      </c>
      <c r="L51" s="2">
        <v>4</v>
      </c>
      <c r="M51" s="2" t="s">
        <v>16</v>
      </c>
      <c r="N51" s="2" t="s">
        <v>137</v>
      </c>
      <c r="O51" s="2" t="e">
        <f ca="1">_xll.BDP("MO US 01/20/17 P52.5 Equity", " BID")</f>
        <v>#NAME?</v>
      </c>
      <c r="P51" s="2" t="e">
        <f ca="1">_xll.BDP("MO US 01/20/17 P52.5 Equity", " ASK")</f>
        <v>#NAME?</v>
      </c>
      <c r="Q51" s="2" t="e">
        <f ca="1">_xll.BDP("MO US 01/20/17 P52.5 Equity", " DELTA_MID_RT")</f>
        <v>#NAME?</v>
      </c>
      <c r="R51" s="2" t="e">
        <f ca="1">_xll.BDP("MO US 01/20/17 P52.5 Equity", " GAMMA_MID_RT")</f>
        <v>#NAME?</v>
      </c>
      <c r="S51" s="2" t="e">
        <f ca="1">_xll.BDP("MO US 01/20/17 P52.5 Equity", " VEGA_MID_RT")</f>
        <v>#NAME?</v>
      </c>
      <c r="T51" s="2" t="e">
        <f ca="1">_xll.BDP("MO US 01/20/17 P52.5 Equity", " THETA_MID_RT")</f>
        <v>#NAME?</v>
      </c>
      <c r="U51" s="21" t="e">
        <f ca="1">_xll.BDP("MO US 01/20/17 P52.5 Equity", " PX_POS_MULT_FACTOR")</f>
        <v>#NAME?</v>
      </c>
      <c r="V51" s="2" t="e">
        <f ca="1">_xll.BDP("MO US 01/20/17 P52.5 Equity", " OPT_UNDL_PX")</f>
        <v>#NAME?</v>
      </c>
      <c r="W51" s="28">
        <v>-1.4642438983320094E-2</v>
      </c>
      <c r="X51" s="28">
        <v>7.9226106433677511E-4</v>
      </c>
      <c r="Y51" s="28">
        <v>-4.6401906274821287E-6</v>
      </c>
      <c r="Z51" s="28">
        <v>1.677783955520254E-4</v>
      </c>
    </row>
    <row r="52" spans="1:26" x14ac:dyDescent="0.4">
      <c r="E52" s="2" t="s">
        <v>138</v>
      </c>
      <c r="F52" s="2" t="s">
        <v>11</v>
      </c>
      <c r="G52" s="2" t="s">
        <v>12</v>
      </c>
      <c r="H52" s="2" t="s">
        <v>13</v>
      </c>
      <c r="I52" s="2">
        <v>82</v>
      </c>
      <c r="J52" s="2" t="s">
        <v>21</v>
      </c>
      <c r="K52" s="2" t="s">
        <v>22</v>
      </c>
      <c r="L52" s="2">
        <v>2.5279150009200002</v>
      </c>
      <c r="M52" s="2" t="s">
        <v>16</v>
      </c>
      <c r="N52" s="2" t="s">
        <v>139</v>
      </c>
      <c r="O52" s="2" t="e">
        <f ca="1">_xll.BDP("MS US 01/20/17 P30 Equity", " BID")</f>
        <v>#NAME?</v>
      </c>
      <c r="P52" s="2" t="e">
        <f ca="1">_xll.BDP("MS US 01/20/17 P30 Equity", " ASK")</f>
        <v>#NAME?</v>
      </c>
      <c r="Q52" s="2" t="e">
        <f ca="1">_xll.BDP("MS US 01/20/17 P30 Equity", " DELTA_MID_RT")</f>
        <v>#NAME?</v>
      </c>
      <c r="R52" s="2" t="e">
        <f ca="1">_xll.BDP("MS US 01/20/17 P30 Equity", " GAMMA_MID_RT")</f>
        <v>#NAME?</v>
      </c>
      <c r="S52" s="2" t="e">
        <f ca="1">_xll.BDP("MS US 01/20/17 P30 Equity", " VEGA_MID_RT")</f>
        <v>#NAME?</v>
      </c>
      <c r="T52" s="2" t="e">
        <f ca="1">_xll.BDP("MS US 01/20/17 P30 Equity", " THETA_MID_RT")</f>
        <v>#NAME?</v>
      </c>
      <c r="U52" s="21" t="e">
        <f ca="1">_xll.BDP("MS US 01/20/17 P30 Equity", " PX_POS_MULT_FACTOR")</f>
        <v>#NAME?</v>
      </c>
      <c r="V52" s="2" t="e">
        <f ca="1">_xll.BDP("MS US 01/20/17 P30 Equity", " OPT_UNDL_PX")</f>
        <v>#NAME?</v>
      </c>
      <c r="W52" s="28">
        <v>-1.4519903999999997E-2</v>
      </c>
      <c r="X52" s="28">
        <v>5.6277941699761711E-4</v>
      </c>
      <c r="Y52" s="28">
        <v>-4.5135822081016678E-6</v>
      </c>
      <c r="Z52" s="28">
        <v>1.6010255758538525E-4</v>
      </c>
    </row>
    <row r="53" spans="1:26" x14ac:dyDescent="0.4">
      <c r="E53" s="2" t="s">
        <v>140</v>
      </c>
      <c r="F53" s="2" t="s">
        <v>11</v>
      </c>
      <c r="G53" s="2" t="s">
        <v>12</v>
      </c>
      <c r="H53" s="2" t="s">
        <v>13</v>
      </c>
      <c r="I53" s="2">
        <v>117</v>
      </c>
      <c r="J53" s="2" t="s">
        <v>141</v>
      </c>
      <c r="K53" s="2" t="s">
        <v>142</v>
      </c>
      <c r="L53" s="2">
        <v>1.2999999523200001</v>
      </c>
      <c r="M53" s="2" t="s">
        <v>16</v>
      </c>
      <c r="N53" s="2" t="s">
        <v>143</v>
      </c>
      <c r="O53" s="2" t="e">
        <f ca="1">_xll.BDP("NI US 01/20/17 P17 Equity", " BID")</f>
        <v>#NAME?</v>
      </c>
      <c r="P53" s="2" t="e">
        <f ca="1">_xll.BDP("NI US 01/20/17 P17 Equity", " ASK")</f>
        <v>#NAME?</v>
      </c>
      <c r="Q53" s="2" t="e">
        <f ca="1">_xll.BDP("NI US 01/20/17 P17 Equity", " DELTA_MID_RT")</f>
        <v>#NAME?</v>
      </c>
      <c r="R53" s="2" t="e">
        <f ca="1">_xll.BDP("NI US 01/20/17 P17 Equity", " GAMMA_MID_RT")</f>
        <v>#NAME?</v>
      </c>
      <c r="S53" s="2" t="e">
        <f ca="1">_xll.BDP("NI US 01/20/17 P17 Equity", " VEGA_MID_RT")</f>
        <v>#NAME?</v>
      </c>
      <c r="T53" s="2" t="e">
        <f ca="1">_xll.BDP("NI US 01/20/17 P17 Equity", " THETA_MID_RT")</f>
        <v>#NAME?</v>
      </c>
      <c r="U53" s="21" t="e">
        <f ca="1">_xll.BDP("NI US 01/20/17 P17 Equity", " PX_POS_MULT_FACTOR")</f>
        <v>#NAME?</v>
      </c>
      <c r="V53" s="2" t="e">
        <f ca="1">_xll.BDP("NI US 01/20/17 P17 Equity", " OPT_UNDL_PX")</f>
        <v>#NAME?</v>
      </c>
      <c r="W53" s="28">
        <v>-9.8624966926131857E-3</v>
      </c>
      <c r="X53" s="28">
        <v>4.5640148054011117E-4</v>
      </c>
      <c r="Y53" s="28">
        <v>-5.4067196187450358E-6</v>
      </c>
      <c r="Z53" s="28">
        <v>1.214383796664019E-4</v>
      </c>
    </row>
    <row r="54" spans="1:26" x14ac:dyDescent="0.4">
      <c r="E54" s="2" t="s">
        <v>250</v>
      </c>
      <c r="F54" s="2" t="s">
        <v>11</v>
      </c>
      <c r="G54" s="2" t="s">
        <v>12</v>
      </c>
      <c r="I54" s="2">
        <v>23</v>
      </c>
      <c r="J54" s="2" t="s">
        <v>33</v>
      </c>
      <c r="K54" s="2" t="s">
        <v>34</v>
      </c>
      <c r="L54" s="2">
        <v>8.4565200805699998</v>
      </c>
      <c r="M54" s="2" t="s">
        <v>16</v>
      </c>
      <c r="N54" s="2" t="s">
        <v>251</v>
      </c>
    </row>
    <row r="55" spans="1:26" x14ac:dyDescent="0.4">
      <c r="E55" s="2" t="s">
        <v>144</v>
      </c>
      <c r="F55" s="2" t="s">
        <v>11</v>
      </c>
      <c r="G55" s="2" t="s">
        <v>12</v>
      </c>
      <c r="H55" s="2" t="s">
        <v>13</v>
      </c>
      <c r="I55" s="2">
        <v>71</v>
      </c>
      <c r="J55" s="2" t="s">
        <v>14</v>
      </c>
      <c r="K55" s="2" t="s">
        <v>15</v>
      </c>
      <c r="L55" s="2">
        <v>2.3539350032799997</v>
      </c>
      <c r="M55" s="2" t="s">
        <v>16</v>
      </c>
      <c r="N55" s="2" t="s">
        <v>145</v>
      </c>
      <c r="O55" s="2" t="e">
        <f ca="1">_xll.BDP("NVDA US 01/20/17 P25 Equity", " BID")</f>
        <v>#NAME?</v>
      </c>
      <c r="P55" s="2" t="e">
        <f ca="1">_xll.BDP("NVDA US 01/20/17 P25 Equity", " ASK")</f>
        <v>#NAME?</v>
      </c>
      <c r="Q55" s="2" t="e">
        <f ca="1">_xll.BDP("NVDA US 01/20/17 P25 Equity", " DELTA_MID_RT")</f>
        <v>#NAME?</v>
      </c>
      <c r="R55" s="2" t="e">
        <f ca="1">_xll.BDP("NVDA US 01/20/17 P25 Equity", " GAMMA_MID_RT")</f>
        <v>#NAME?</v>
      </c>
      <c r="S55" s="2" t="e">
        <f ca="1">_xll.BDP("NVDA US 01/20/17 P25 Equity", " VEGA_MID_RT")</f>
        <v>#NAME?</v>
      </c>
      <c r="T55" s="2" t="e">
        <f ca="1">_xll.BDP("NVDA US 01/20/17 P25 Equity", " THETA_MID_RT")</f>
        <v>#NAME?</v>
      </c>
      <c r="U55" s="21" t="e">
        <f ca="1">_xll.BDP("NVDA US 01/20/17 P25 Equity", " PX_POS_MULT_FACTOR")</f>
        <v>#NAME?</v>
      </c>
      <c r="V55" s="2" t="e">
        <f ca="1">_xll.BDP("NVDA US 01/20/17 P25 Equity", " OPT_UNDL_PX")</f>
        <v>#NAME?</v>
      </c>
      <c r="W55" s="28">
        <v>-6.4384881613979367E-3</v>
      </c>
      <c r="X55" s="28">
        <v>2.4672539475774423E-4</v>
      </c>
      <c r="Y55" s="28">
        <v>-4.9818427323272434E-6</v>
      </c>
      <c r="Z55" s="28">
        <v>9.8358967434471802E-5</v>
      </c>
    </row>
    <row r="56" spans="1:26" x14ac:dyDescent="0.4">
      <c r="A56" s="6"/>
      <c r="E56" s="2" t="s">
        <v>146</v>
      </c>
      <c r="F56" s="2" t="s">
        <v>11</v>
      </c>
      <c r="G56" s="2" t="s">
        <v>12</v>
      </c>
      <c r="H56" s="2" t="s">
        <v>13</v>
      </c>
      <c r="I56" s="2">
        <v>64</v>
      </c>
      <c r="J56" s="2" t="s">
        <v>14</v>
      </c>
      <c r="K56" s="2" t="s">
        <v>15</v>
      </c>
      <c r="L56" s="2">
        <v>2.9835898876200004</v>
      </c>
      <c r="M56" s="2" t="s">
        <v>16</v>
      </c>
      <c r="N56" s="2" t="s">
        <v>147</v>
      </c>
      <c r="O56" s="2" t="e">
        <f ca="1">_xll.BDP("PAYX US 01/20/17 P45 Equity", " BID")</f>
        <v>#NAME?</v>
      </c>
      <c r="P56" s="2" t="e">
        <f ca="1">_xll.BDP("PAYX US 01/20/17 P45 Equity", " ASK")</f>
        <v>#NAME?</v>
      </c>
      <c r="Q56" s="2" t="e">
        <f ca="1">_xll.BDP("PAYX US 01/20/17 P45 Equity", " DELTA_MID_RT")</f>
        <v>#NAME?</v>
      </c>
      <c r="R56" s="2" t="e">
        <f ca="1">_xll.BDP("PAYX US 01/20/17 P45 Equity", " GAMMA_MID_RT")</f>
        <v>#NAME?</v>
      </c>
      <c r="S56" s="2" t="e">
        <f ca="1">_xll.BDP("PAYX US 01/20/17 P45 Equity", " VEGA_MID_RT")</f>
        <v>#NAME?</v>
      </c>
      <c r="T56" s="2" t="e">
        <f ca="1">_xll.BDP("PAYX US 01/20/17 P45 Equity", " THETA_MID_RT")</f>
        <v>#NAME?</v>
      </c>
      <c r="U56" s="21" t="e">
        <f ca="1">_xll.BDP("PAYX US 01/20/17 P45 Equity", " PX_POS_MULT_FACTOR")</f>
        <v>#NAME?</v>
      </c>
      <c r="V56" s="2" t="e">
        <f ca="1">_xll.BDP("PAYX US 01/20/17 P45 Equity", " OPT_UNDL_PX")</f>
        <v>#NAME?</v>
      </c>
      <c r="W56" s="28">
        <v>-1.1157628177283559E-2</v>
      </c>
      <c r="X56" s="28">
        <v>6.9248689308975381E-4</v>
      </c>
      <c r="Y56" s="28">
        <v>-4.6726608419380465E-6</v>
      </c>
      <c r="Z56" s="28">
        <v>1.5745423351866563E-4</v>
      </c>
    </row>
    <row r="57" spans="1:26" x14ac:dyDescent="0.4">
      <c r="A57" s="6"/>
      <c r="E57" s="2" t="s">
        <v>148</v>
      </c>
      <c r="F57" s="2" t="s">
        <v>11</v>
      </c>
      <c r="G57" s="2" t="s">
        <v>12</v>
      </c>
      <c r="H57" s="2" t="s">
        <v>13</v>
      </c>
      <c r="I57" s="2">
        <v>55</v>
      </c>
      <c r="J57" s="2" t="s">
        <v>21</v>
      </c>
      <c r="K57" s="2" t="s">
        <v>22</v>
      </c>
      <c r="L57" s="2">
        <v>2.0454499721500001</v>
      </c>
      <c r="M57" s="2" t="s">
        <v>16</v>
      </c>
      <c r="N57" s="2" t="s">
        <v>149</v>
      </c>
      <c r="O57" s="2" t="e">
        <f ca="1">_xll.BDP("PCL US 01/20/17 P37 Equity", " BID")</f>
        <v>#NAME?</v>
      </c>
      <c r="P57" s="2" t="e">
        <f ca="1">_xll.BDP("PCL US 01/20/17 P37 Equity", " ASK")</f>
        <v>#NAME?</v>
      </c>
      <c r="Q57" s="2" t="e">
        <f ca="1">_xll.BDP("PCL US 01/20/17 P37 Equity", " DELTA_MID_RT")</f>
        <v>#NAME?</v>
      </c>
      <c r="R57" s="2" t="e">
        <f ca="1">_xll.BDP("PCL US 01/20/17 P37 Equity", " GAMMA_MID_RT")</f>
        <v>#NAME?</v>
      </c>
      <c r="S57" s="2" t="e">
        <f ca="1">_xll.BDP("PCL US 01/20/17 P37 Equity", " VEGA_MID_RT")</f>
        <v>#NAME?</v>
      </c>
      <c r="T57" s="2" t="e">
        <f ca="1">_xll.BDP("PCL US 01/20/17 P37 Equity", " THETA_MID_RT")</f>
        <v>#NAME?</v>
      </c>
      <c r="U57" s="21" t="e">
        <f ca="1">_xll.BDP("PCL US 01/20/17 P37 Equity", " PX_POS_MULT_FACTOR")</f>
        <v>#NAME?</v>
      </c>
      <c r="V57" s="2" t="e">
        <f ca="1">_xll.BDP("PCL US 01/20/17 P37 Equity", " OPT_UNDL_PX")</f>
        <v>#NAME?</v>
      </c>
      <c r="W57" s="28">
        <v>-6.2871629618745034E-3</v>
      </c>
      <c r="X57" s="28">
        <v>3.7048874583002381E-4</v>
      </c>
      <c r="Y57" s="28">
        <v>-2.9234312946783159E-6</v>
      </c>
      <c r="Z57" s="28">
        <v>9.8921366163621922E-5</v>
      </c>
    </row>
    <row r="58" spans="1:26" x14ac:dyDescent="0.4">
      <c r="A58" s="6"/>
      <c r="E58" s="2" t="s">
        <v>150</v>
      </c>
      <c r="F58" s="2" t="s">
        <v>11</v>
      </c>
      <c r="G58" s="2" t="s">
        <v>12</v>
      </c>
      <c r="H58" s="2" t="s">
        <v>53</v>
      </c>
      <c r="I58" s="2">
        <v>100</v>
      </c>
      <c r="J58" s="2" t="s">
        <v>33</v>
      </c>
      <c r="K58" s="2" t="s">
        <v>34</v>
      </c>
      <c r="L58" s="2">
        <v>1241.5</v>
      </c>
      <c r="M58" s="2" t="s">
        <v>16</v>
      </c>
      <c r="N58" s="2" t="s">
        <v>151</v>
      </c>
      <c r="O58" s="2" t="e">
        <f ca="1">_xll.BDP("PCLN US Equity", " BID")</f>
        <v>#NAME?</v>
      </c>
      <c r="P58" s="2" t="e">
        <f ca="1">_xll.BDP("PCLN US Equity", " ASK")</f>
        <v>#NAME?</v>
      </c>
      <c r="Q58" s="2">
        <v>1</v>
      </c>
      <c r="R58" s="2">
        <v>0</v>
      </c>
      <c r="S58" s="2">
        <v>0</v>
      </c>
      <c r="T58" s="2">
        <v>0</v>
      </c>
      <c r="U58" s="21" t="e">
        <f ca="1">_xll.BDP("PCLN US Equity", " PX_POS_MULT_FACTOR")</f>
        <v>#NAME?</v>
      </c>
      <c r="V58" s="2" t="e">
        <f ca="1">_xll.BDP("PCLN US Equity", " PX_MID")</f>
        <v>#NAME?</v>
      </c>
      <c r="W58" s="28">
        <v>2.06967434471803E-2</v>
      </c>
      <c r="X58" s="28">
        <v>0</v>
      </c>
      <c r="Y58" s="28">
        <v>0</v>
      </c>
      <c r="Z58" s="28">
        <v>0</v>
      </c>
    </row>
    <row r="59" spans="1:26" x14ac:dyDescent="0.4">
      <c r="A59" s="6"/>
      <c r="E59" s="2" t="s">
        <v>152</v>
      </c>
      <c r="F59" s="2" t="s">
        <v>11</v>
      </c>
      <c r="G59" s="2" t="s">
        <v>12</v>
      </c>
      <c r="H59" s="2" t="s">
        <v>13</v>
      </c>
      <c r="I59" s="2">
        <v>3</v>
      </c>
      <c r="J59" s="2" t="s">
        <v>33</v>
      </c>
      <c r="K59" s="2" t="s">
        <v>34</v>
      </c>
      <c r="L59" s="2">
        <v>96.533302307099987</v>
      </c>
      <c r="M59" s="2" t="s">
        <v>16</v>
      </c>
      <c r="N59" s="2" t="s">
        <v>153</v>
      </c>
      <c r="O59" s="2" t="e">
        <f ca="1">_xll.BDP("PCLN US 01/20/17 P1180 Equity", " BID")</f>
        <v>#NAME?</v>
      </c>
      <c r="P59" s="2" t="e">
        <f ca="1">_xll.BDP("PCLN US 01/20/17 P1180 Equity", " ASK")</f>
        <v>#NAME?</v>
      </c>
      <c r="Q59" s="2" t="e">
        <f ca="1">_xll.BDP("PCLN US 01/20/17 P1180 Equity", " DELTA_MID_RT")</f>
        <v>#NAME?</v>
      </c>
      <c r="R59" s="2" t="e">
        <f ca="1">_xll.BDP("PCLN US 01/20/17 P1180 Equity", " GAMMA_MID_RT")</f>
        <v>#NAME?</v>
      </c>
      <c r="S59" s="2" t="e">
        <f ca="1">_xll.BDP("PCLN US 01/20/17 P1180 Equity", " VEGA_MID_RT")</f>
        <v>#NAME?</v>
      </c>
      <c r="T59" s="2" t="e">
        <f ca="1">_xll.BDP("PCLN US 01/20/17 P1180 Equity", " THETA_MID_RT")</f>
        <v>#NAME?</v>
      </c>
      <c r="U59" s="21" t="e">
        <f ca="1">_xll.BDP("PCLN US 01/20/17 P1180 Equity", " PX_POS_MULT_FACTOR")</f>
        <v>#NAME?</v>
      </c>
      <c r="V59" s="2" t="e">
        <f ca="1">_xll.BDP("PCLN US 01/20/17 P1180 Equity", " OPT_UNDL_PX")</f>
        <v>#NAME?</v>
      </c>
      <c r="W59" s="28">
        <v>-1.904783275615568E-2</v>
      </c>
      <c r="X59" s="28">
        <v>7.3383360762509936E-4</v>
      </c>
      <c r="Y59" s="28">
        <v>-7.9801906274821272E-6</v>
      </c>
      <c r="Z59" s="28">
        <v>2.2447915806195396E-4</v>
      </c>
    </row>
    <row r="60" spans="1:26" x14ac:dyDescent="0.4">
      <c r="A60" s="6" t="s">
        <v>228</v>
      </c>
      <c r="B60" s="24" t="s">
        <v>279</v>
      </c>
      <c r="E60" s="2" t="s">
        <v>154</v>
      </c>
      <c r="F60" s="2" t="s">
        <v>11</v>
      </c>
      <c r="G60" s="2" t="s">
        <v>12</v>
      </c>
      <c r="H60" s="2" t="s">
        <v>13</v>
      </c>
      <c r="I60" s="2">
        <v>15</v>
      </c>
      <c r="J60" s="2" t="s">
        <v>155</v>
      </c>
      <c r="K60" s="2" t="s">
        <v>156</v>
      </c>
      <c r="L60" s="2">
        <v>15.5</v>
      </c>
      <c r="M60" s="2" t="s">
        <v>16</v>
      </c>
      <c r="N60" s="2" t="s">
        <v>157</v>
      </c>
      <c r="O60" s="2" t="e">
        <f ca="1">_xll.BDP("PXD US 01/20/17 P120 Equity", " BID")</f>
        <v>#NAME?</v>
      </c>
      <c r="P60" s="2" t="e">
        <f ca="1">_xll.BDP("PXD US 01/20/17 P120 Equity", " ASK")</f>
        <v>#NAME?</v>
      </c>
      <c r="Q60" s="2" t="e">
        <f ca="1">_xll.BDP("PXD US 01/20/17 P120 Equity", " DELTA_MID_RT")</f>
        <v>#NAME?</v>
      </c>
      <c r="R60" s="2" t="e">
        <f ca="1">_xll.BDP("PXD US 01/20/17 P120 Equity", " GAMMA_MID_RT")</f>
        <v>#NAME?</v>
      </c>
      <c r="S60" s="2" t="e">
        <f ca="1">_xll.BDP("PXD US 01/20/17 P120 Equity", " VEGA_MID_RT")</f>
        <v>#NAME?</v>
      </c>
      <c r="T60" s="2" t="e">
        <f ca="1">_xll.BDP("PXD US 01/20/17 P120 Equity", " THETA_MID_RT")</f>
        <v>#NAME?</v>
      </c>
      <c r="U60" s="21" t="e">
        <f ca="1">_xll.BDP("PXD US 01/20/17 P120 Equity", " PX_POS_MULT_FACTOR")</f>
        <v>#NAME?</v>
      </c>
      <c r="V60" s="2" t="e">
        <f ca="1">_xll.BDP("PXD US 01/20/17 P120 Equity", " OPT_UNDL_PX")</f>
        <v>#NAME?</v>
      </c>
      <c r="W60" s="28">
        <v>-1.1192829164416203E-2</v>
      </c>
      <c r="X60" s="28">
        <v>2.6032800953137405E-4</v>
      </c>
      <c r="Y60" s="28">
        <v>-6.0731532962668786E-6</v>
      </c>
      <c r="Z60" s="28">
        <v>1.1579952343129468E-4</v>
      </c>
    </row>
    <row r="61" spans="1:26" x14ac:dyDescent="0.4">
      <c r="A61" s="6" t="s">
        <v>229</v>
      </c>
      <c r="B61" s="24" t="s">
        <v>280</v>
      </c>
      <c r="E61" s="2" t="s">
        <v>158</v>
      </c>
      <c r="F61" s="2" t="s">
        <v>11</v>
      </c>
      <c r="G61" s="2" t="s">
        <v>12</v>
      </c>
      <c r="H61" s="2" t="s">
        <v>13</v>
      </c>
      <c r="I61" s="2">
        <v>31</v>
      </c>
      <c r="J61" s="2" t="s">
        <v>33</v>
      </c>
      <c r="K61" s="2" t="s">
        <v>34</v>
      </c>
      <c r="L61" s="2">
        <v>7.9345002174399992</v>
      </c>
      <c r="M61" s="2" t="s">
        <v>16</v>
      </c>
      <c r="N61" s="2" t="s">
        <v>159</v>
      </c>
      <c r="O61" s="2" t="e">
        <f ca="1">_xll.BDP("RCL US 01/20/17 P82.5 Equity", " BID")</f>
        <v>#NAME?</v>
      </c>
      <c r="P61" s="2" t="e">
        <f ca="1">_xll.BDP("RCL US 01/20/17 P82.5 Equity", " ASK")</f>
        <v>#NAME?</v>
      </c>
      <c r="Q61" s="2" t="e">
        <f ca="1">_xll.BDP("RCL US 01/20/17 P82.5 Equity", " DELTA_MID_RT")</f>
        <v>#NAME?</v>
      </c>
      <c r="R61" s="2" t="e">
        <f ca="1">_xll.BDP("RCL US 01/20/17 P82.5 Equity", " GAMMA_MID_RT")</f>
        <v>#NAME?</v>
      </c>
      <c r="S61" s="2" t="e">
        <f ca="1">_xll.BDP("RCL US 01/20/17 P82.5 Equity", " VEGA_MID_RT")</f>
        <v>#NAME?</v>
      </c>
      <c r="T61" s="2" t="e">
        <f ca="1">_xll.BDP("RCL US 01/20/17 P82.5 Equity", " THETA_MID_RT")</f>
        <v>#NAME?</v>
      </c>
      <c r="U61" s="21" t="e">
        <f ca="1">_xll.BDP("RCL US 01/20/17 P82.5 Equity", " PX_POS_MULT_FACTOR")</f>
        <v>#NAME?</v>
      </c>
      <c r="V61" s="2" t="e">
        <f ca="1">_xll.BDP("RCL US 01/20/17 P82.5 Equity", " OPT_UNDL_PX")</f>
        <v>#NAME?</v>
      </c>
      <c r="W61" s="28">
        <v>-1.095856402398729E-2</v>
      </c>
      <c r="X61" s="28">
        <v>4.1822336378077835E-4</v>
      </c>
      <c r="Y61" s="28">
        <v>-6.5722954725972991E-6</v>
      </c>
      <c r="Z61" s="28">
        <v>1.5257466243050042E-4</v>
      </c>
    </row>
    <row r="62" spans="1:26" x14ac:dyDescent="0.4">
      <c r="A62" s="6" t="s">
        <v>230</v>
      </c>
      <c r="B62" s="24" t="s">
        <v>281</v>
      </c>
      <c r="E62" s="2" t="s">
        <v>160</v>
      </c>
      <c r="F62" s="2" t="s">
        <v>11</v>
      </c>
      <c r="G62" s="2" t="s">
        <v>12</v>
      </c>
      <c r="H62" s="2" t="s">
        <v>13</v>
      </c>
      <c r="I62" s="2">
        <v>4</v>
      </c>
      <c r="J62" s="2" t="s">
        <v>27</v>
      </c>
      <c r="K62" s="2" t="s">
        <v>28</v>
      </c>
      <c r="L62" s="2">
        <v>76.375</v>
      </c>
      <c r="M62" s="2" t="s">
        <v>16</v>
      </c>
      <c r="N62" s="2" t="s">
        <v>161</v>
      </c>
      <c r="O62" s="2" t="e">
        <f ca="1">_xll.BDP("REGN US 01/19/18 P470 Equity", " BID")</f>
        <v>#NAME?</v>
      </c>
      <c r="P62" s="2" t="e">
        <f ca="1">_xll.BDP("REGN US 01/19/18 P470 Equity", " ASK")</f>
        <v>#NAME?</v>
      </c>
      <c r="Q62" s="2" t="e">
        <f ca="1">_xll.BDP("REGN US 01/19/18 P470 Equity", " DELTA_MID_RT")</f>
        <v>#NAME?</v>
      </c>
      <c r="R62" s="2" t="e">
        <f ca="1">_xll.BDP("REGN US 01/19/18 P470 Equity", " GAMMA_MID_RT")</f>
        <v>#NAME?</v>
      </c>
      <c r="S62" s="2" t="e">
        <f ca="1">_xll.BDP("REGN US 01/19/18 P470 Equity", " VEGA_MID_RT")</f>
        <v>#NAME?</v>
      </c>
      <c r="T62" s="2" t="e">
        <f ca="1">_xll.BDP("REGN US 01/19/18 P470 Equity", " THETA_MID_RT")</f>
        <v>#NAME?</v>
      </c>
      <c r="U62" s="21" t="e">
        <f ca="1">_xll.BDP("REGN US 01/19/18 P470 Equity", " PX_POS_MULT_FACTOR")</f>
        <v>#NAME?</v>
      </c>
      <c r="V62" s="2" t="e">
        <f ca="1">_xll.BDP("REGN US 01/19/18 P470 Equity", " OPT_UNDL_PX")</f>
        <v>#NAME?</v>
      </c>
      <c r="W62" s="28">
        <v>-9.6318827374106443E-3</v>
      </c>
      <c r="X62" s="28">
        <v>2.2176216235107228E-4</v>
      </c>
      <c r="Y62" s="28">
        <v>-3.7988244638602063E-6</v>
      </c>
      <c r="Z62" s="28">
        <v>1.6719275615567909E-4</v>
      </c>
    </row>
    <row r="63" spans="1:26" x14ac:dyDescent="0.4">
      <c r="A63" s="6" t="s">
        <v>231</v>
      </c>
      <c r="B63" s="24" t="s">
        <v>282</v>
      </c>
      <c r="E63" s="2" t="s">
        <v>162</v>
      </c>
      <c r="F63" s="2" t="s">
        <v>11</v>
      </c>
      <c r="G63" s="2" t="s">
        <v>12</v>
      </c>
      <c r="H63" s="2" t="s">
        <v>13</v>
      </c>
      <c r="I63" s="2">
        <v>30</v>
      </c>
      <c r="J63" s="2" t="s">
        <v>14</v>
      </c>
      <c r="K63" s="2" t="s">
        <v>15</v>
      </c>
      <c r="L63" s="2">
        <v>6.9499998092699995</v>
      </c>
      <c r="M63" s="2" t="s">
        <v>16</v>
      </c>
      <c r="N63" s="2" t="s">
        <v>163</v>
      </c>
      <c r="O63" s="2" t="e">
        <f ca="1">_xll.BDP("RHT US 01/20/17 P67.5 Equity", " BID")</f>
        <v>#NAME?</v>
      </c>
      <c r="P63" s="2" t="e">
        <f ca="1">_xll.BDP("RHT US 01/20/17 P67.5 Equity", " ASK")</f>
        <v>#NAME?</v>
      </c>
      <c r="Q63" s="2" t="e">
        <f ca="1">_xll.BDP("RHT US 01/20/17 P67.5 Equity", " DELTA_MID_RT")</f>
        <v>#NAME?</v>
      </c>
      <c r="R63" s="2" t="e">
        <f ca="1">_xll.BDP("RHT US 01/20/17 P67.5 Equity", " GAMMA_MID_RT")</f>
        <v>#NAME?</v>
      </c>
      <c r="S63" s="2" t="e">
        <f ca="1">_xll.BDP("RHT US 01/20/17 P67.5 Equity", " VEGA_MID_RT")</f>
        <v>#NAME?</v>
      </c>
      <c r="T63" s="2" t="e">
        <f ca="1">_xll.BDP("RHT US 01/20/17 P67.5 Equity", " THETA_MID_RT")</f>
        <v>#NAME?</v>
      </c>
      <c r="U63" s="21" t="e">
        <f ca="1">_xll.BDP("RHT US 01/20/17 P67.5 Equity", " PX_POS_MULT_FACTOR")</f>
        <v>#NAME?</v>
      </c>
      <c r="V63" s="2" t="e">
        <f ca="1">_xll.BDP("RHT US 01/20/17 P67.5 Equity", " OPT_UNDL_PX")</f>
        <v>#NAME?</v>
      </c>
      <c r="W63" s="28">
        <v>-8.1615510976965847E-3</v>
      </c>
      <c r="X63" s="28">
        <v>3.3749039237490071E-4</v>
      </c>
      <c r="Y63" s="28">
        <v>-4.8290706910246221E-6</v>
      </c>
      <c r="Z63" s="28">
        <v>1.1691421763304211E-4</v>
      </c>
    </row>
    <row r="64" spans="1:26" x14ac:dyDescent="0.4">
      <c r="A64" s="6" t="s">
        <v>232</v>
      </c>
      <c r="B64" s="24"/>
      <c r="E64" s="2" t="s">
        <v>168</v>
      </c>
      <c r="F64" s="2" t="s">
        <v>11</v>
      </c>
      <c r="G64" s="2" t="s">
        <v>12</v>
      </c>
      <c r="H64" s="2" t="s">
        <v>13</v>
      </c>
      <c r="I64" s="2">
        <v>76</v>
      </c>
      <c r="J64" s="2" t="s">
        <v>33</v>
      </c>
      <c r="K64" s="2" t="s">
        <v>34</v>
      </c>
      <c r="L64" s="2">
        <v>3.81868004799</v>
      </c>
      <c r="M64" s="2" t="s">
        <v>16</v>
      </c>
      <c r="N64" s="2" t="s">
        <v>169</v>
      </c>
      <c r="O64" s="2" t="e">
        <f ca="1">_xll.BDP("SBUX US 01/20/17 P52.5 Equity", " BID")</f>
        <v>#NAME?</v>
      </c>
      <c r="P64" s="2" t="e">
        <f ca="1">_xll.BDP("SBUX US 01/20/17 P52.5 Equity", " ASK")</f>
        <v>#NAME?</v>
      </c>
      <c r="Q64" s="2" t="e">
        <f ca="1">_xll.BDP("SBUX US 01/20/17 P52.5 Equity", " DELTA_MID_RT")</f>
        <v>#NAME?</v>
      </c>
      <c r="R64" s="2" t="e">
        <f ca="1">_xll.BDP("SBUX US 01/20/17 P52.5 Equity", " GAMMA_MID_RT")</f>
        <v>#NAME?</v>
      </c>
      <c r="S64" s="2" t="e">
        <f ca="1">_xll.BDP("SBUX US 01/20/17 P52.5 Equity", " VEGA_MID_RT")</f>
        <v>#NAME?</v>
      </c>
      <c r="T64" s="2" t="e">
        <f ca="1">_xll.BDP("SBUX US 01/20/17 P52.5 Equity", " THETA_MID_RT")</f>
        <v>#NAME?</v>
      </c>
      <c r="U64" s="21" t="e">
        <f ca="1">_xll.BDP("SBUX US 01/20/17 P52.5 Equity", " PX_POS_MULT_FACTOR")</f>
        <v>#NAME?</v>
      </c>
      <c r="V64" s="2" t="e">
        <f ca="1">_xll.BDP("SBUX US 01/20/17 P52.5 Equity", " OPT_UNDL_PX")</f>
        <v>#NAME?</v>
      </c>
      <c r="W64" s="28">
        <v>-1.8459826673868147E-2</v>
      </c>
      <c r="X64" s="28">
        <v>8.1965279237490075E-4</v>
      </c>
      <c r="Y64" s="28">
        <v>-9.0946465448768862E-6</v>
      </c>
      <c r="Z64" s="28">
        <v>2.408964575059571E-4</v>
      </c>
    </row>
    <row r="65" spans="1:26" x14ac:dyDescent="0.4">
      <c r="A65" s="6" t="s">
        <v>233</v>
      </c>
      <c r="E65" s="2" t="s">
        <v>170</v>
      </c>
      <c r="F65" s="2" t="s">
        <v>11</v>
      </c>
      <c r="G65" s="2" t="s">
        <v>12</v>
      </c>
      <c r="H65" s="2" t="s">
        <v>13</v>
      </c>
      <c r="I65" s="2">
        <v>23</v>
      </c>
      <c r="J65" s="2" t="s">
        <v>21</v>
      </c>
      <c r="K65" s="2" t="s">
        <v>22</v>
      </c>
      <c r="L65" s="2">
        <v>10.6174001694</v>
      </c>
      <c r="M65" s="2" t="s">
        <v>16</v>
      </c>
      <c r="N65" s="2" t="s">
        <v>171</v>
      </c>
      <c r="O65" s="2" t="e">
        <f ca="1">_xll.BDP("SPG US 01/20/17 P175 Equity", " BID")</f>
        <v>#NAME?</v>
      </c>
      <c r="P65" s="2" t="e">
        <f ca="1">_xll.BDP("SPG US 01/20/17 P175 Equity", " ASK")</f>
        <v>#NAME?</v>
      </c>
      <c r="Q65" s="2" t="e">
        <f ca="1">_xll.BDP("SPG US 01/20/17 P175 Equity", " DELTA_MID_RT")</f>
        <v>#NAME?</v>
      </c>
      <c r="R65" s="2" t="e">
        <f ca="1">_xll.BDP("SPG US 01/20/17 P175 Equity", " GAMMA_MID_RT")</f>
        <v>#NAME?</v>
      </c>
      <c r="S65" s="2" t="e">
        <f ca="1">_xll.BDP("SPG US 01/20/17 P175 Equity", " VEGA_MID_RT")</f>
        <v>#NAME?</v>
      </c>
      <c r="T65" s="2" t="e">
        <f ca="1">_xll.BDP("SPG US 01/20/17 P175 Equity", " THETA_MID_RT")</f>
        <v>#NAME?</v>
      </c>
      <c r="U65" s="21" t="e">
        <f ca="1">_xll.BDP("SPG US 01/20/17 P175 Equity", " PX_POS_MULT_FACTOR")</f>
        <v>#NAME?</v>
      </c>
      <c r="V65" s="2" t="e">
        <f ca="1">_xll.BDP("SPG US 01/20/17 P175 Equity", " OPT_UNDL_PX")</f>
        <v>#NAME?</v>
      </c>
      <c r="W65" s="28">
        <v>-2.2710498539634631E-2</v>
      </c>
      <c r="X65" s="28">
        <v>1.1099473505957109E-3</v>
      </c>
      <c r="Y65" s="28">
        <v>-7.1813343923749006E-6</v>
      </c>
      <c r="Z65" s="28">
        <v>2.5843888800635421E-4</v>
      </c>
    </row>
    <row r="66" spans="1:26" x14ac:dyDescent="0.4">
      <c r="A66" s="6" t="s">
        <v>234</v>
      </c>
      <c r="E66" s="2" t="s">
        <v>258</v>
      </c>
      <c r="F66" s="2" t="s">
        <v>11</v>
      </c>
      <c r="G66" s="2" t="s">
        <v>12</v>
      </c>
      <c r="H66" s="2" t="s">
        <v>13</v>
      </c>
      <c r="I66" s="2">
        <v>78</v>
      </c>
      <c r="J66" s="2" t="s">
        <v>172</v>
      </c>
      <c r="K66" s="2" t="s">
        <v>173</v>
      </c>
      <c r="L66" s="2">
        <v>54.246033350600001</v>
      </c>
      <c r="M66" s="2" t="s">
        <v>174</v>
      </c>
      <c r="N66" s="2" t="s">
        <v>259</v>
      </c>
      <c r="O66" s="2" t="e">
        <f ca="1">_xll.BDP("SPX UO 03/18/16 C2075 Index", " BID")</f>
        <v>#NAME?</v>
      </c>
      <c r="P66" s="2" t="e">
        <f ca="1">_xll.BDP("SPX UO 03/18/16 C2075 Index", " ASK")</f>
        <v>#NAME?</v>
      </c>
      <c r="Q66" s="2" t="e">
        <f ca="1">_xll.BDP("SPX UO 03/18/16 C2075 Index", " DELTA_MID_RT")</f>
        <v>#NAME?</v>
      </c>
      <c r="R66" s="2" t="e">
        <f ca="1">_xll.BDP("SPX UO 03/18/16 C2075 Index", " GAMMA_MID_RT")</f>
        <v>#NAME?</v>
      </c>
      <c r="S66" s="2" t="e">
        <f ca="1">_xll.BDP("SPX UO 03/18/16 C2075 Index", " VEGA_MID_RT")</f>
        <v>#NAME?</v>
      </c>
      <c r="T66" s="2" t="e">
        <f ca="1">_xll.BDP("SPX UO 03/18/16 C2075 Index", " THETA_MID_RT")</f>
        <v>#NAME?</v>
      </c>
      <c r="U66" s="21" t="e">
        <f ca="1">_xll.BDP("SPX UO 03/18/16 C2075 Index", " PX_POS_MULT_FACTOR")</f>
        <v>#NAME?</v>
      </c>
      <c r="V66" s="2" t="e">
        <f ca="1">_xll.BDP("SPX UO 03/18/16 C2075 Index", " OPT_UNDL_PX")</f>
        <v>#NAME?</v>
      </c>
      <c r="W66" s="28">
        <v>1.3039064744997619</v>
      </c>
      <c r="X66" s="28">
        <v>0.14481411587990467</v>
      </c>
      <c r="Y66" s="28">
        <v>-3.9822004765687055E-4</v>
      </c>
      <c r="Z66" s="28">
        <v>4.7813145035742648E-3</v>
      </c>
    </row>
    <row r="67" spans="1:26" x14ac:dyDescent="0.4">
      <c r="A67" s="6" t="s">
        <v>235</v>
      </c>
      <c r="E67" s="2" t="s">
        <v>175</v>
      </c>
      <c r="F67" s="2" t="s">
        <v>11</v>
      </c>
      <c r="G67" s="2" t="s">
        <v>12</v>
      </c>
      <c r="H67" s="2" t="s">
        <v>13</v>
      </c>
      <c r="I67" s="2">
        <v>50</v>
      </c>
      <c r="J67" s="2" t="s">
        <v>176</v>
      </c>
      <c r="K67" s="2" t="s">
        <v>177</v>
      </c>
      <c r="L67" s="2">
        <v>87.802501678500008</v>
      </c>
      <c r="M67" s="2" t="s">
        <v>174</v>
      </c>
      <c r="N67" s="2" t="s">
        <v>178</v>
      </c>
      <c r="O67" s="2" t="e">
        <f ca="1">_xll.BDP("SPX US 01/20/17 P1800 Index", " BID")</f>
        <v>#NAME?</v>
      </c>
      <c r="P67" s="2" t="e">
        <f ca="1">_xll.BDP("SPX US 01/20/17 P1800 Index", " ASK")</f>
        <v>#NAME?</v>
      </c>
      <c r="Q67" s="2" t="e">
        <f ca="1">_xll.BDP("SPX US 01/20/17 P1800 Index", " DELTA_MID_RT")</f>
        <v>#NAME?</v>
      </c>
      <c r="R67" s="2" t="e">
        <f ca="1">_xll.BDP("SPX US 01/20/17 P1800 Index", " GAMMA_MID_RT")</f>
        <v>#NAME?</v>
      </c>
      <c r="S67" s="2" t="e">
        <f ca="1">_xll.BDP("SPX US 01/20/17 P1800 Index", " VEGA_MID_RT")</f>
        <v>#NAME?</v>
      </c>
      <c r="T67" s="2" t="e">
        <f ca="1">_xll.BDP("SPX US 01/20/17 P1800 Index", " THETA_MID_RT")</f>
        <v>#NAME?</v>
      </c>
      <c r="U67" s="21" t="e">
        <f ca="1">_xll.BDP("SPX US 01/20/17 P1800 Index", " PX_POS_MULT_FACTOR")</f>
        <v>#NAME?</v>
      </c>
      <c r="V67" s="2" t="e">
        <f ca="1">_xll.BDP("SPX US 01/20/17 P1800 Index", " OPT_UNDL_PX")</f>
        <v>#NAME?</v>
      </c>
      <c r="W67" s="28">
        <v>-0.3883512231930103</v>
      </c>
      <c r="X67" s="28">
        <v>2.2703482986497221E-2</v>
      </c>
      <c r="Y67" s="28">
        <v>-1.5553613979348691E-4</v>
      </c>
      <c r="Z67" s="28">
        <v>5.184698173153297E-3</v>
      </c>
    </row>
    <row r="68" spans="1:26" x14ac:dyDescent="0.4">
      <c r="A68" s="6" t="s">
        <v>244</v>
      </c>
      <c r="E68" s="2" t="s">
        <v>179</v>
      </c>
      <c r="F68" s="2" t="s">
        <v>11</v>
      </c>
      <c r="G68" s="2" t="s">
        <v>12</v>
      </c>
      <c r="H68" s="2" t="s">
        <v>13</v>
      </c>
      <c r="I68" s="2">
        <v>18</v>
      </c>
      <c r="J68" s="2" t="s">
        <v>14</v>
      </c>
      <c r="K68" s="2" t="s">
        <v>15</v>
      </c>
      <c r="L68" s="2">
        <v>11.25</v>
      </c>
      <c r="M68" s="2" t="s">
        <v>16</v>
      </c>
      <c r="N68" s="2" t="s">
        <v>180</v>
      </c>
      <c r="O68" s="2" t="e">
        <f ca="1">_xll.BDP("STX US 01/20/17 P45 Equity", " BID")</f>
        <v>#NAME?</v>
      </c>
      <c r="P68" s="2" t="e">
        <f ca="1">_xll.BDP("STX US 01/20/17 P45 Equity", " ASK")</f>
        <v>#NAME?</v>
      </c>
      <c r="Q68" s="2" t="e">
        <f ca="1">_xll.BDP("STX US 01/20/17 P45 Equity", " DELTA_MID_RT")</f>
        <v>#NAME?</v>
      </c>
      <c r="R68" s="2" t="e">
        <f ca="1">_xll.BDP("STX US 01/20/17 P45 Equity", " GAMMA_MID_RT")</f>
        <v>#NAME?</v>
      </c>
      <c r="S68" s="2" t="e">
        <f ca="1">_xll.BDP("STX US 01/20/17 P45 Equity", " VEGA_MID_RT")</f>
        <v>#NAME?</v>
      </c>
      <c r="T68" s="2" t="e">
        <f ca="1">_xll.BDP("STX US 01/20/17 P45 Equity", " THETA_MID_RT")</f>
        <v>#NAME?</v>
      </c>
      <c r="U68" s="21" t="e">
        <f ca="1">_xll.BDP("STX US 01/20/17 P45 Equity", " PX_POS_MULT_FACTOR")</f>
        <v>#NAME?</v>
      </c>
      <c r="V68" s="2" t="e">
        <f ca="1">_xll.BDP("STX US 01/20/17 P45 Equity", " OPT_UNDL_PX")</f>
        <v>#NAME?</v>
      </c>
      <c r="W68" s="28">
        <v>-7.2221299634630661E-3</v>
      </c>
      <c r="X68" s="28">
        <v>1.0552606513105638E-4</v>
      </c>
      <c r="Y68" s="28">
        <v>-1.8105798252581412E-6</v>
      </c>
      <c r="Z68" s="28">
        <v>3.7936965845909447E-5</v>
      </c>
    </row>
    <row r="69" spans="1:26" x14ac:dyDescent="0.4">
      <c r="A69" s="6" t="s">
        <v>246</v>
      </c>
      <c r="E69" s="2" t="s">
        <v>181</v>
      </c>
      <c r="F69" s="2" t="s">
        <v>11</v>
      </c>
      <c r="G69" s="2" t="s">
        <v>12</v>
      </c>
      <c r="H69" s="2" t="s">
        <v>13</v>
      </c>
      <c r="I69" s="2">
        <v>40</v>
      </c>
      <c r="J69" s="2" t="s">
        <v>43</v>
      </c>
      <c r="K69" s="2" t="s">
        <v>44</v>
      </c>
      <c r="L69" s="2">
        <v>6.3625001907300005</v>
      </c>
      <c r="M69" s="2" t="s">
        <v>16</v>
      </c>
      <c r="N69" s="2" t="s">
        <v>182</v>
      </c>
      <c r="O69" s="2" t="e">
        <f ca="1">_xll.BDP("SWK US 01/20/17 P90 Equity", " BID")</f>
        <v>#NAME?</v>
      </c>
      <c r="P69" s="2" t="e">
        <f ca="1">_xll.BDP("SWK US 01/20/17 P90 Equity", " ASK")</f>
        <v>#NAME?</v>
      </c>
      <c r="Q69" s="2" t="e">
        <f ca="1">_xll.BDP("SWK US 01/20/17 P90 Equity", " DELTA_MID_RT")</f>
        <v>#NAME?</v>
      </c>
      <c r="R69" s="2" t="e">
        <f ca="1">_xll.BDP("SWK US 01/20/17 P90 Equity", " GAMMA_MID_RT")</f>
        <v>#NAME?</v>
      </c>
      <c r="S69" s="2" t="e">
        <f ca="1">_xll.BDP("SWK US 01/20/17 P90 Equity", " VEGA_MID_RT")</f>
        <v>#NAME?</v>
      </c>
      <c r="T69" s="2" t="e">
        <f ca="1">_xll.BDP("SWK US 01/20/17 P90 Equity", " THETA_MID_RT")</f>
        <v>#NAME?</v>
      </c>
      <c r="U69" s="21" t="e">
        <f ca="1">_xll.BDP("SWK US 01/20/17 P90 Equity", " PX_POS_MULT_FACTOR")</f>
        <v>#NAME?</v>
      </c>
      <c r="V69" s="2" t="e">
        <f ca="1">_xll.BDP("SWK US 01/20/17 P90 Equity", " OPT_UNDL_PX")</f>
        <v>#NAME?</v>
      </c>
      <c r="W69" s="28">
        <v>-1.4742814907069104E-2</v>
      </c>
      <c r="X69" s="28">
        <v>7.7647539952343137E-4</v>
      </c>
      <c r="Y69" s="28">
        <v>-6.3123113582208101E-6</v>
      </c>
      <c r="Z69" s="28">
        <v>2.0470214455917392E-4</v>
      </c>
    </row>
    <row r="70" spans="1:26" x14ac:dyDescent="0.4">
      <c r="A70" s="23" t="s">
        <v>247</v>
      </c>
      <c r="E70" s="2" t="s">
        <v>260</v>
      </c>
      <c r="F70" s="2" t="s">
        <v>11</v>
      </c>
      <c r="G70" s="2" t="s">
        <v>12</v>
      </c>
      <c r="H70" s="2" t="s">
        <v>53</v>
      </c>
      <c r="I70" s="2">
        <v>1000</v>
      </c>
      <c r="J70" s="2" t="s">
        <v>33</v>
      </c>
      <c r="K70" s="2" t="s">
        <v>34</v>
      </c>
      <c r="L70" s="2">
        <v>72.194000244099996</v>
      </c>
      <c r="M70" s="2" t="s">
        <v>16</v>
      </c>
      <c r="N70" s="2" t="s">
        <v>261</v>
      </c>
      <c r="O70" s="2" t="e">
        <f ca="1">_xll.BDP("TIF US Equity", " BID")</f>
        <v>#NAME?</v>
      </c>
      <c r="P70" s="2" t="e">
        <f ca="1">_xll.BDP("TIF US Equity", " ASK")</f>
        <v>#NAME?</v>
      </c>
      <c r="Q70" s="2">
        <v>1</v>
      </c>
      <c r="R70" s="2">
        <v>0</v>
      </c>
      <c r="S70" s="2">
        <v>0</v>
      </c>
      <c r="T70" s="2">
        <v>0</v>
      </c>
      <c r="U70" s="21" t="e">
        <f ca="1">_xll.BDP("TIF US Equity", " PX_POS_MULT_FACTOR")</f>
        <v>#NAME?</v>
      </c>
      <c r="V70" s="2" t="e">
        <f ca="1">_xll.BDP("TIF US Equity", " PX_MID")</f>
        <v>#NAME?</v>
      </c>
      <c r="W70" s="28">
        <v>1.2328832406671961E-2</v>
      </c>
      <c r="X70" s="28">
        <v>0</v>
      </c>
      <c r="Y70" s="28">
        <v>0</v>
      </c>
      <c r="Z70" s="28">
        <v>0</v>
      </c>
    </row>
    <row r="71" spans="1:26" x14ac:dyDescent="0.4">
      <c r="E71" s="2" t="s">
        <v>183</v>
      </c>
      <c r="F71" s="2" t="s">
        <v>11</v>
      </c>
      <c r="G71" s="2" t="s">
        <v>12</v>
      </c>
      <c r="H71" s="2" t="s">
        <v>13</v>
      </c>
      <c r="I71" s="2">
        <v>32</v>
      </c>
      <c r="J71" s="2" t="s">
        <v>33</v>
      </c>
      <c r="K71" s="2" t="s">
        <v>34</v>
      </c>
      <c r="L71" s="2">
        <v>6.3093700408900002</v>
      </c>
      <c r="M71" s="2" t="s">
        <v>16</v>
      </c>
      <c r="N71" s="2" t="s">
        <v>184</v>
      </c>
      <c r="O71" s="2" t="e">
        <f ca="1">_xll.BDP("TIF US 01/20/17 P70 Equity", " BID")</f>
        <v>#NAME?</v>
      </c>
      <c r="P71" s="2" t="e">
        <f ca="1">_xll.BDP("TIF US 01/20/17 P70 Equity", " ASK")</f>
        <v>#NAME?</v>
      </c>
      <c r="Q71" s="2" t="e">
        <f ca="1">_xll.BDP("TIF US 01/20/17 P70 Equity", " DELTA_MID_RT")</f>
        <v>#NAME?</v>
      </c>
      <c r="R71" s="2" t="e">
        <f ca="1">_xll.BDP("TIF US 01/20/17 P70 Equity", " GAMMA_MID_RT")</f>
        <v>#NAME?</v>
      </c>
      <c r="S71" s="2" t="e">
        <f ca="1">_xll.BDP("TIF US 01/20/17 P70 Equity", " VEGA_MID_RT")</f>
        <v>#NAME?</v>
      </c>
      <c r="T71" s="2" t="e">
        <f ca="1">_xll.BDP("TIF US 01/20/17 P70 Equity", " THETA_MID_RT")</f>
        <v>#NAME?</v>
      </c>
      <c r="U71" s="21" t="e">
        <f ca="1">_xll.BDP("TIF US 01/20/17 P70 Equity", " PX_POS_MULT_FACTOR")</f>
        <v>#NAME?</v>
      </c>
      <c r="V71" s="2" t="e">
        <f ca="1">_xll.BDP("TIF US 01/20/17 P70 Equity", " OPT_UNDL_PX")</f>
        <v>#NAME?</v>
      </c>
      <c r="W71" s="28">
        <v>-1.273122870087371E-2</v>
      </c>
      <c r="X71" s="28">
        <v>4.5103693471008747E-4</v>
      </c>
      <c r="Y71" s="28">
        <v>-5.6054646544876884E-6</v>
      </c>
      <c r="Z71" s="28">
        <v>1.448616362192216E-4</v>
      </c>
    </row>
    <row r="72" spans="1:26" x14ac:dyDescent="0.4">
      <c r="E72" s="2" t="s">
        <v>185</v>
      </c>
      <c r="F72" s="2" t="s">
        <v>11</v>
      </c>
      <c r="G72" s="2" t="s">
        <v>12</v>
      </c>
      <c r="H72" s="2" t="s">
        <v>13</v>
      </c>
      <c r="I72" s="2">
        <v>29</v>
      </c>
      <c r="J72" s="2" t="s">
        <v>27</v>
      </c>
      <c r="K72" s="2" t="s">
        <v>28</v>
      </c>
      <c r="L72" s="2">
        <v>6.5</v>
      </c>
      <c r="M72" s="2" t="s">
        <v>16</v>
      </c>
      <c r="N72" s="2" t="s">
        <v>186</v>
      </c>
      <c r="O72" s="2" t="e">
        <f ca="1">_xll.BDP("TMO US 01/20/17 P110 Equity", " BID")</f>
        <v>#NAME?</v>
      </c>
      <c r="P72" s="2" t="e">
        <f ca="1">_xll.BDP("TMO US 01/20/17 P110 Equity", " ASK")</f>
        <v>#NAME?</v>
      </c>
      <c r="Q72" s="2" t="e">
        <f ca="1">_xll.BDP("TMO US 01/20/17 P110 Equity", " DELTA_MID_RT")</f>
        <v>#NAME?</v>
      </c>
      <c r="R72" s="2" t="e">
        <f ca="1">_xll.BDP("TMO US 01/20/17 P110 Equity", " GAMMA_MID_RT")</f>
        <v>#NAME?</v>
      </c>
      <c r="S72" s="2" t="e">
        <f ca="1">_xll.BDP("TMO US 01/20/17 P110 Equity", " VEGA_MID_RT")</f>
        <v>#NAME?</v>
      </c>
      <c r="T72" s="2" t="e">
        <f ca="1">_xll.BDP("TMO US 01/20/17 P110 Equity", " THETA_MID_RT")</f>
        <v>#NAME?</v>
      </c>
      <c r="U72" s="21" t="e">
        <f ca="1">_xll.BDP("TMO US 01/20/17 P110 Equity", " PX_POS_MULT_FACTOR")</f>
        <v>#NAME?</v>
      </c>
      <c r="V72" s="2" t="e">
        <f ca="1">_xll.BDP("TMO US 01/20/17 P110 Equity", " OPT_UNDL_PX")</f>
        <v>#NAME?</v>
      </c>
      <c r="W72" s="28">
        <v>-9.2840466263701352E-3</v>
      </c>
      <c r="X72" s="28">
        <v>5.1421727529785545E-4</v>
      </c>
      <c r="Y72" s="28">
        <v>-5.2315170770452746E-6</v>
      </c>
      <c r="Z72" s="28">
        <v>1.5126022239872916E-4</v>
      </c>
    </row>
    <row r="73" spans="1:26" x14ac:dyDescent="0.4">
      <c r="E73" s="2" t="s">
        <v>187</v>
      </c>
      <c r="F73" s="2" t="s">
        <v>11</v>
      </c>
      <c r="G73" s="2" t="s">
        <v>12</v>
      </c>
      <c r="H73" s="2" t="s">
        <v>13</v>
      </c>
      <c r="I73" s="2">
        <v>40</v>
      </c>
      <c r="J73" s="2" t="s">
        <v>33</v>
      </c>
      <c r="K73" s="2" t="s">
        <v>34</v>
      </c>
      <c r="L73" s="2">
        <v>5</v>
      </c>
      <c r="M73" s="2" t="s">
        <v>16</v>
      </c>
      <c r="N73" s="2" t="s">
        <v>188</v>
      </c>
      <c r="O73" s="2" t="e">
        <f ca="1">_xll.BDP("TRIP US 01/20/17 P60 Equity", " BID")</f>
        <v>#NAME?</v>
      </c>
      <c r="P73" s="2" t="e">
        <f ca="1">_xll.BDP("TRIP US 01/20/17 P60 Equity", " ASK")</f>
        <v>#NAME?</v>
      </c>
      <c r="Q73" s="2" t="e">
        <f ca="1">_xll.BDP("TRIP US 01/20/17 P60 Equity", " DELTA_MID_RT")</f>
        <v>#NAME?</v>
      </c>
      <c r="R73" s="2" t="e">
        <f ca="1">_xll.BDP("TRIP US 01/20/17 P60 Equity", " GAMMA_MID_RT")</f>
        <v>#NAME?</v>
      </c>
      <c r="S73" s="2" t="e">
        <f ca="1">_xll.BDP("TRIP US 01/20/17 P60 Equity", " VEGA_MID_RT")</f>
        <v>#NAME?</v>
      </c>
      <c r="T73" s="2" t="e">
        <f ca="1">_xll.BDP("TRIP US 01/20/17 P60 Equity", " THETA_MID_RT")</f>
        <v>#NAME?</v>
      </c>
      <c r="U73" s="21" t="e">
        <f ca="1">_xll.BDP("TRIP US 01/20/17 P60 Equity", " PX_POS_MULT_FACTOR")</f>
        <v>#NAME?</v>
      </c>
      <c r="V73" s="2" t="e">
        <f ca="1">_xll.BDP("TRIP US 01/20/17 P60 Equity", " OPT_UNDL_PX")</f>
        <v>#NAME?</v>
      </c>
      <c r="W73" s="28">
        <v>-7.6544927529785551E-3</v>
      </c>
      <c r="X73" s="28">
        <v>2.846927974583002E-4</v>
      </c>
      <c r="Y73" s="28">
        <v>-6.6115965051628275E-6</v>
      </c>
      <c r="Z73" s="28">
        <v>1.2592279586973789E-4</v>
      </c>
    </row>
    <row r="74" spans="1:26" x14ac:dyDescent="0.4">
      <c r="E74" s="2" t="s">
        <v>189</v>
      </c>
      <c r="F74" s="2" t="s">
        <v>11</v>
      </c>
      <c r="G74" s="2" t="s">
        <v>12</v>
      </c>
      <c r="H74" s="2" t="s">
        <v>13</v>
      </c>
      <c r="I74" s="2">
        <v>73</v>
      </c>
      <c r="J74" s="2" t="s">
        <v>66</v>
      </c>
      <c r="K74" s="2" t="s">
        <v>67</v>
      </c>
      <c r="L74" s="2">
        <v>3.5534200668300002</v>
      </c>
      <c r="M74" s="2" t="s">
        <v>16</v>
      </c>
      <c r="N74" s="2" t="s">
        <v>190</v>
      </c>
      <c r="O74" s="2" t="e">
        <f ca="1">_xll.BDP("TSN US 01/20/17 P40 Equity", " BID")</f>
        <v>#NAME?</v>
      </c>
      <c r="P74" s="2" t="e">
        <f ca="1">_xll.BDP("TSN US 01/20/17 P40 Equity", " ASK")</f>
        <v>#NAME?</v>
      </c>
      <c r="Q74" s="2" t="e">
        <f ca="1">_xll.BDP("TSN US 01/20/17 P40 Equity", " DELTA_MID_RT")</f>
        <v>#NAME?</v>
      </c>
      <c r="R74" s="2" t="e">
        <f ca="1">_xll.BDP("TSN US 01/20/17 P40 Equity", " GAMMA_MID_RT")</f>
        <v>#NAME?</v>
      </c>
      <c r="S74" s="2" t="e">
        <f ca="1">_xll.BDP("TSN US 01/20/17 P40 Equity", " VEGA_MID_RT")</f>
        <v>#NAME?</v>
      </c>
      <c r="T74" s="2" t="e">
        <f ca="1">_xll.BDP("TSN US 01/20/17 P40 Equity", " THETA_MID_RT")</f>
        <v>#NAME?</v>
      </c>
      <c r="U74" s="21" t="e">
        <f ca="1">_xll.BDP("TSN US 01/20/17 P40 Equity", " PX_POS_MULT_FACTOR")</f>
        <v>#NAME?</v>
      </c>
      <c r="V74" s="2" t="e">
        <f ca="1">_xll.BDP("TSN US 01/20/17 P40 Equity", " OPT_UNDL_PX")</f>
        <v>#NAME?</v>
      </c>
      <c r="W74" s="28">
        <v>-9.0652487752184274E-3</v>
      </c>
      <c r="X74" s="28">
        <v>4.334107990468626E-4</v>
      </c>
      <c r="Y74" s="28">
        <v>-6.3560444797458302E-6</v>
      </c>
      <c r="Z74" s="28">
        <v>1.4591418586179506E-4</v>
      </c>
    </row>
    <row r="75" spans="1:26" x14ac:dyDescent="0.4">
      <c r="E75" s="2" t="s">
        <v>262</v>
      </c>
      <c r="F75" s="2" t="s">
        <v>11</v>
      </c>
      <c r="G75" s="2" t="s">
        <v>12</v>
      </c>
      <c r="H75" s="2" t="s">
        <v>13</v>
      </c>
      <c r="I75" s="2">
        <v>10</v>
      </c>
      <c r="J75" s="2" t="s">
        <v>66</v>
      </c>
      <c r="K75" s="2" t="s">
        <v>67</v>
      </c>
      <c r="L75" s="2">
        <v>3.2999999523199999</v>
      </c>
      <c r="M75" s="2" t="s">
        <v>16</v>
      </c>
      <c r="N75" s="2" t="s">
        <v>263</v>
      </c>
      <c r="O75" s="2" t="e">
        <f ca="1">_xll.BDP("TSN US 01/20/17 P45 Equity", " BID")</f>
        <v>#NAME?</v>
      </c>
      <c r="P75" s="2" t="e">
        <f ca="1">_xll.BDP("TSN US 01/20/17 P45 Equity", " ASK")</f>
        <v>#NAME?</v>
      </c>
      <c r="Q75" s="2" t="e">
        <f ca="1">_xll.BDP("TSN US 01/20/17 P45 Equity", " DELTA_MID_RT")</f>
        <v>#NAME?</v>
      </c>
      <c r="R75" s="2" t="e">
        <f ca="1">_xll.BDP("TSN US 01/20/17 P45 Equity", " GAMMA_MID_RT")</f>
        <v>#NAME?</v>
      </c>
      <c r="S75" s="2" t="e">
        <f ca="1">_xll.BDP("TSN US 01/20/17 P45 Equity", " VEGA_MID_RT")</f>
        <v>#NAME?</v>
      </c>
      <c r="T75" s="2" t="e">
        <f ca="1">_xll.BDP("TSN US 01/20/17 P45 Equity", " THETA_MID_RT")</f>
        <v>#NAME?</v>
      </c>
      <c r="U75" s="21" t="e">
        <f ca="1">_xll.BDP("TSN US 01/20/17 P45 Equity", " PX_POS_MULT_FACTOR")</f>
        <v>#NAME?</v>
      </c>
      <c r="V75" s="2" t="e">
        <f ca="1">_xll.BDP("TSN US 01/20/17 P45 Equity", " OPT_UNDL_PX")</f>
        <v>#NAME?</v>
      </c>
      <c r="W75" s="28">
        <v>-1.972868435266084E-3</v>
      </c>
      <c r="X75" s="28">
        <v>8.6265687053216838E-5</v>
      </c>
      <c r="Y75" s="28">
        <v>-1.023034154090548E-6</v>
      </c>
      <c r="Z75" s="28">
        <v>2.6768387609213659E-5</v>
      </c>
    </row>
    <row r="76" spans="1:26" x14ac:dyDescent="0.4">
      <c r="E76" s="2" t="s">
        <v>191</v>
      </c>
      <c r="F76" s="2" t="s">
        <v>11</v>
      </c>
      <c r="G76" s="2" t="s">
        <v>12</v>
      </c>
      <c r="H76" s="2" t="s">
        <v>13</v>
      </c>
      <c r="I76" s="2">
        <v>20</v>
      </c>
      <c r="J76" s="2" t="s">
        <v>155</v>
      </c>
      <c r="K76" s="2" t="s">
        <v>156</v>
      </c>
      <c r="L76" s="2">
        <v>9.6999998092699986</v>
      </c>
      <c r="M76" s="2" t="s">
        <v>16</v>
      </c>
      <c r="N76" s="2" t="s">
        <v>192</v>
      </c>
      <c r="O76" s="2" t="e">
        <f ca="1">_xll.BDP("TSO US 01/20/17 P90 Equity", " BID")</f>
        <v>#NAME?</v>
      </c>
      <c r="P76" s="2" t="e">
        <f ca="1">_xll.BDP("TSO US 01/20/17 P90 Equity", " ASK")</f>
        <v>#NAME?</v>
      </c>
      <c r="Q76" s="2" t="e">
        <f ca="1">_xll.BDP("TSO US 01/20/17 P90 Equity", " DELTA_MID_RT")</f>
        <v>#NAME?</v>
      </c>
      <c r="R76" s="2" t="e">
        <f ca="1">_xll.BDP("TSO US 01/20/17 P90 Equity", " GAMMA_MID_RT")</f>
        <v>#NAME?</v>
      </c>
      <c r="S76" s="2" t="e">
        <f ca="1">_xll.BDP("TSO US 01/20/17 P90 Equity", " VEGA_MID_RT")</f>
        <v>#NAME?</v>
      </c>
      <c r="T76" s="2" t="e">
        <f ca="1">_xll.BDP("TSO US 01/20/17 P90 Equity", " THETA_MID_RT")</f>
        <v>#NAME?</v>
      </c>
      <c r="U76" s="21" t="e">
        <f ca="1">_xll.BDP("TSO US 01/20/17 P90 Equity", " PX_POS_MULT_FACTOR")</f>
        <v>#NAME?</v>
      </c>
      <c r="V76" s="2" t="e">
        <f ca="1">_xll.BDP("TSO US 01/20/17 P90 Equity", " OPT_UNDL_PX")</f>
        <v>#NAME?</v>
      </c>
      <c r="W76" s="28">
        <v>-9.5619728165210471E-3</v>
      </c>
      <c r="X76" s="28">
        <v>3.0496279586973788E-4</v>
      </c>
      <c r="Y76" s="28">
        <v>-5.1761715647339162E-6</v>
      </c>
      <c r="Z76" s="28">
        <v>1.1534424146147736E-4</v>
      </c>
    </row>
    <row r="77" spans="1:26" x14ac:dyDescent="0.4">
      <c r="E77" s="2" t="s">
        <v>193</v>
      </c>
      <c r="F77" s="2" t="s">
        <v>11</v>
      </c>
      <c r="G77" s="2" t="s">
        <v>12</v>
      </c>
      <c r="H77" s="2" t="s">
        <v>13</v>
      </c>
      <c r="I77" s="2">
        <v>5</v>
      </c>
      <c r="J77" s="2" t="s">
        <v>33</v>
      </c>
      <c r="K77" s="2" t="s">
        <v>34</v>
      </c>
      <c r="L77" s="2">
        <v>15.5</v>
      </c>
      <c r="M77" s="2" t="s">
        <v>16</v>
      </c>
      <c r="N77" s="2" t="s">
        <v>194</v>
      </c>
      <c r="O77" s="2" t="e">
        <f ca="1">_xll.BDP("TWC US 01/19/18 P170 Equity", " BID")</f>
        <v>#NAME?</v>
      </c>
      <c r="P77" s="2" t="e">
        <f ca="1">_xll.BDP("TWC US 01/19/18 P170 Equity", " ASK")</f>
        <v>#NAME?</v>
      </c>
      <c r="Q77" s="2" t="e">
        <f ca="1">_xll.BDP("TWC US 01/19/18 P170 Equity", " DELTA_MID_RT")</f>
        <v>#NAME?</v>
      </c>
      <c r="R77" s="2" t="e">
        <f ca="1">_xll.BDP("TWC US 01/19/18 P170 Equity", " GAMMA_MID_RT")</f>
        <v>#NAME?</v>
      </c>
      <c r="S77" s="2" t="e">
        <f ca="1">_xll.BDP("TWC US 01/19/18 P170 Equity", " VEGA_MID_RT")</f>
        <v>#NAME?</v>
      </c>
      <c r="T77" s="2" t="e">
        <f ca="1">_xll.BDP("TWC US 01/19/18 P170 Equity", " THETA_MID_RT")</f>
        <v>#NAME?</v>
      </c>
      <c r="U77" s="21" t="e">
        <f ca="1">_xll.BDP("TWC US 01/19/18 P170 Equity", " PX_POS_MULT_FACTOR")</f>
        <v>#NAME?</v>
      </c>
      <c r="V77" s="2" t="e">
        <f ca="1">_xll.BDP("TWC US 01/19/18 P170 Equity", " OPT_UNDL_PX")</f>
        <v>#NAME?</v>
      </c>
      <c r="W77" s="28">
        <v>-4.6839324638602063E-3</v>
      </c>
      <c r="X77" s="28">
        <v>1.93594927720413E-4</v>
      </c>
      <c r="Y77" s="28">
        <v>-9.0754567116759337E-7</v>
      </c>
      <c r="Z77" s="28">
        <v>7.4384273232724394E-5</v>
      </c>
    </row>
    <row r="78" spans="1:26" x14ac:dyDescent="0.4">
      <c r="E78" s="2" t="s">
        <v>264</v>
      </c>
      <c r="F78" s="2" t="s">
        <v>11</v>
      </c>
      <c r="G78" s="2" t="s">
        <v>12</v>
      </c>
      <c r="H78" s="2" t="s">
        <v>53</v>
      </c>
      <c r="I78" s="2">
        <v>500</v>
      </c>
      <c r="J78" s="2" t="s">
        <v>33</v>
      </c>
      <c r="K78" s="2" t="s">
        <v>34</v>
      </c>
      <c r="L78" s="2">
        <v>81.265899658199999</v>
      </c>
      <c r="M78" s="2" t="s">
        <v>16</v>
      </c>
      <c r="N78" s="2" t="s">
        <v>265</v>
      </c>
      <c r="O78" s="2" t="e">
        <f ca="1">_xll.BDP("UA US Equity", " BID")</f>
        <v>#NAME?</v>
      </c>
      <c r="P78" s="2" t="e">
        <f ca="1">_xll.BDP("UA US Equity", " ASK")</f>
        <v>#NAME?</v>
      </c>
      <c r="Q78" s="2">
        <v>1</v>
      </c>
      <c r="R78" s="2">
        <v>0</v>
      </c>
      <c r="S78" s="2">
        <v>0</v>
      </c>
      <c r="T78" s="2">
        <v>0</v>
      </c>
      <c r="U78" s="21" t="e">
        <f ca="1">_xll.BDP("UA US Equity", " PX_POS_MULT_FACTOR")</f>
        <v>#NAME?</v>
      </c>
      <c r="V78" s="2" t="e">
        <f ca="1">_xll.BDP("UA US Equity", " PX_MID")</f>
        <v>#NAME?</v>
      </c>
      <c r="W78" s="28">
        <v>6.5345512311358218E-3</v>
      </c>
      <c r="X78" s="28">
        <v>0</v>
      </c>
      <c r="Y78" s="28">
        <v>0</v>
      </c>
      <c r="Z78" s="28">
        <v>0</v>
      </c>
    </row>
    <row r="79" spans="1:26" x14ac:dyDescent="0.4">
      <c r="E79" s="2" t="s">
        <v>195</v>
      </c>
      <c r="F79" s="2" t="s">
        <v>11</v>
      </c>
      <c r="G79" s="2" t="s">
        <v>12</v>
      </c>
      <c r="H79" s="2" t="s">
        <v>13</v>
      </c>
      <c r="I79" s="2">
        <v>26</v>
      </c>
      <c r="J79" s="2" t="s">
        <v>33</v>
      </c>
      <c r="K79" s="2" t="s">
        <v>34</v>
      </c>
      <c r="L79" s="2">
        <v>12.950000286099998</v>
      </c>
      <c r="M79" s="2" t="s">
        <v>16</v>
      </c>
      <c r="N79" s="2" t="s">
        <v>196</v>
      </c>
      <c r="O79" s="2" t="e">
        <f ca="1">_xll.BDP("UA US 01/20/17 P87.5 Equity", " BID")</f>
        <v>#NAME?</v>
      </c>
      <c r="P79" s="2" t="e">
        <f ca="1">_xll.BDP("UA US 01/20/17 P87.5 Equity", " ASK")</f>
        <v>#NAME?</v>
      </c>
      <c r="Q79" s="2" t="e">
        <f ca="1">_xll.BDP("UA US 01/20/17 P87.5 Equity", " DELTA_MID_RT")</f>
        <v>#NAME?</v>
      </c>
      <c r="R79" s="2" t="e">
        <f ca="1">_xll.BDP("UA US 01/20/17 P87.5 Equity", " GAMMA_MID_RT")</f>
        <v>#NAME?</v>
      </c>
      <c r="S79" s="2" t="e">
        <f ca="1">_xll.BDP("UA US 01/20/17 P87.5 Equity", " VEGA_MID_RT")</f>
        <v>#NAME?</v>
      </c>
      <c r="T79" s="2" t="e">
        <f ca="1">_xll.BDP("UA US 01/20/17 P87.5 Equity", " THETA_MID_RT")</f>
        <v>#NAME?</v>
      </c>
      <c r="U79" s="21" t="e">
        <f ca="1">_xll.BDP("UA US 01/20/17 P87.5 Equity", " PX_POS_MULT_FACTOR")</f>
        <v>#NAME?</v>
      </c>
      <c r="V79" s="2" t="e">
        <f ca="1">_xll.BDP("UA US 01/20/17 P87.5 Equity", " OPT_UNDL_PX")</f>
        <v>#NAME?</v>
      </c>
      <c r="W79" s="28">
        <v>-1.6448547069102464E-2</v>
      </c>
      <c r="X79" s="28">
        <v>3.6689118347895154E-4</v>
      </c>
      <c r="Y79" s="28">
        <v>-6.0087053216838765E-6</v>
      </c>
      <c r="Z79" s="28">
        <v>1.393562827640985E-4</v>
      </c>
    </row>
    <row r="80" spans="1:26" x14ac:dyDescent="0.4">
      <c r="E80" s="2" t="s">
        <v>197</v>
      </c>
      <c r="F80" s="2" t="s">
        <v>11</v>
      </c>
      <c r="G80" s="2" t="s">
        <v>12</v>
      </c>
      <c r="H80" s="2" t="s">
        <v>13</v>
      </c>
      <c r="I80" s="2">
        <v>10</v>
      </c>
      <c r="J80" s="2" t="s">
        <v>27</v>
      </c>
      <c r="K80" s="2" t="s">
        <v>28</v>
      </c>
      <c r="L80" s="2">
        <v>9.3000001907300014</v>
      </c>
      <c r="M80" s="2" t="s">
        <v>16</v>
      </c>
      <c r="N80" s="2" t="s">
        <v>198</v>
      </c>
      <c r="O80" s="2" t="e">
        <f ca="1">_xll.BDP("UNH US 01/20/17 P110 Equity", " BID")</f>
        <v>#NAME?</v>
      </c>
      <c r="P80" s="2" t="e">
        <f ca="1">_xll.BDP("UNH US 01/20/17 P110 Equity", " ASK")</f>
        <v>#NAME?</v>
      </c>
      <c r="Q80" s="2" t="e">
        <f ca="1">_xll.BDP("UNH US 01/20/17 P110 Equity", " DELTA_MID_RT")</f>
        <v>#NAME?</v>
      </c>
      <c r="R80" s="2" t="e">
        <f ca="1">_xll.BDP("UNH US 01/20/17 P110 Equity", " GAMMA_MID_RT")</f>
        <v>#NAME?</v>
      </c>
      <c r="S80" s="2" t="e">
        <f ca="1">_xll.BDP("UNH US 01/20/17 P110 Equity", " VEGA_MID_RT")</f>
        <v>#NAME?</v>
      </c>
      <c r="T80" s="2" t="e">
        <f ca="1">_xll.BDP("UNH US 01/20/17 P110 Equity", " THETA_MID_RT")</f>
        <v>#NAME?</v>
      </c>
      <c r="U80" s="21" t="e">
        <f ca="1">_xll.BDP("UNH US 01/20/17 P110 Equity", " PX_POS_MULT_FACTOR")</f>
        <v>#NAME?</v>
      </c>
      <c r="V80" s="2" t="e">
        <f ca="1">_xll.BDP("UNH US 01/20/17 P110 Equity", " OPT_UNDL_PX")</f>
        <v>#NAME?</v>
      </c>
      <c r="W80" s="28">
        <v>-6.3674003971405865E-3</v>
      </c>
      <c r="X80" s="28">
        <v>2.5905483717235899E-4</v>
      </c>
      <c r="Y80" s="28">
        <v>-2.3831612390786335E-6</v>
      </c>
      <c r="Z80" s="28">
        <v>7.0936616362192228E-5</v>
      </c>
    </row>
    <row r="81" spans="5:26" x14ac:dyDescent="0.4">
      <c r="E81" s="2" t="s">
        <v>199</v>
      </c>
      <c r="F81" s="2" t="s">
        <v>11</v>
      </c>
      <c r="G81" s="2" t="s">
        <v>12</v>
      </c>
      <c r="H81" s="2" t="s">
        <v>13</v>
      </c>
      <c r="I81" s="2">
        <v>20</v>
      </c>
      <c r="J81" s="2" t="s">
        <v>27</v>
      </c>
      <c r="K81" s="2" t="s">
        <v>28</v>
      </c>
      <c r="L81" s="2">
        <v>10.5499997139</v>
      </c>
      <c r="M81" s="2" t="s">
        <v>16</v>
      </c>
      <c r="N81" s="2" t="s">
        <v>200</v>
      </c>
      <c r="O81" s="2" t="e">
        <f ca="1">_xll.BDP("UNH US 01/20/17 P115 Equity", " BID")</f>
        <v>#NAME?</v>
      </c>
      <c r="P81" s="2" t="e">
        <f ca="1">_xll.BDP("UNH US 01/20/17 P115 Equity", " ASK")</f>
        <v>#NAME?</v>
      </c>
      <c r="Q81" s="2" t="e">
        <f ca="1">_xll.BDP("UNH US 01/20/17 P115 Equity", " DELTA_MID_RT")</f>
        <v>#NAME?</v>
      </c>
      <c r="R81" s="2" t="e">
        <f ca="1">_xll.BDP("UNH US 01/20/17 P115 Equity", " GAMMA_MID_RT")</f>
        <v>#NAME?</v>
      </c>
      <c r="S81" s="2" t="e">
        <f ca="1">_xll.BDP("UNH US 01/20/17 P115 Equity", " VEGA_MID_RT")</f>
        <v>#NAME?</v>
      </c>
      <c r="T81" s="2" t="e">
        <f ca="1">_xll.BDP("UNH US 01/20/17 P115 Equity", " THETA_MID_RT")</f>
        <v>#NAME?</v>
      </c>
      <c r="U81" s="21" t="e">
        <f ca="1">_xll.BDP("UNH US 01/20/17 P115 Equity", " PX_POS_MULT_FACTOR")</f>
        <v>#NAME?</v>
      </c>
      <c r="V81" s="2" t="e">
        <f ca="1">_xll.BDP("UNH US 01/20/17 P115 Equity", " OPT_UNDL_PX")</f>
        <v>#NAME?</v>
      </c>
      <c r="W81" s="28">
        <v>-1.5118524047656868E-2</v>
      </c>
      <c r="X81" s="28">
        <v>5.6322061953931689E-4</v>
      </c>
      <c r="Y81" s="28">
        <v>-4.732327243844321E-6</v>
      </c>
      <c r="Z81" s="28">
        <v>1.5008292295472597E-4</v>
      </c>
    </row>
    <row r="82" spans="5:26" x14ac:dyDescent="0.4">
      <c r="E82" s="2" t="s">
        <v>201</v>
      </c>
      <c r="F82" s="2" t="s">
        <v>11</v>
      </c>
      <c r="G82" s="2" t="s">
        <v>12</v>
      </c>
      <c r="H82" s="2" t="s">
        <v>13</v>
      </c>
      <c r="I82" s="2">
        <v>40</v>
      </c>
      <c r="J82" s="2" t="s">
        <v>14</v>
      </c>
      <c r="K82" s="2" t="s">
        <v>15</v>
      </c>
      <c r="L82" s="2">
        <v>4.9499998092699995</v>
      </c>
      <c r="M82" s="2" t="s">
        <v>16</v>
      </c>
      <c r="N82" s="2" t="s">
        <v>202</v>
      </c>
      <c r="O82" s="2" t="e">
        <f ca="1">_xll.BDP("V US 01/20/17 P67.5 Equity", " BID")</f>
        <v>#NAME?</v>
      </c>
      <c r="P82" s="2" t="e">
        <f ca="1">_xll.BDP("V US 01/20/17 P67.5 Equity", " ASK")</f>
        <v>#NAME?</v>
      </c>
      <c r="Q82" s="2" t="e">
        <f ca="1">_xll.BDP("V US 01/20/17 P67.5 Equity", " DELTA_MID_RT")</f>
        <v>#NAME?</v>
      </c>
      <c r="R82" s="2" t="e">
        <f ca="1">_xll.BDP("V US 01/20/17 P67.5 Equity", " GAMMA_MID_RT")</f>
        <v>#NAME?</v>
      </c>
      <c r="S82" s="2" t="e">
        <f ca="1">_xll.BDP("V US 01/20/17 P67.5 Equity", " VEGA_MID_RT")</f>
        <v>#NAME?</v>
      </c>
      <c r="T82" s="2" t="e">
        <f ca="1">_xll.BDP("V US 01/20/17 P67.5 Equity", " THETA_MID_RT")</f>
        <v>#NAME?</v>
      </c>
      <c r="U82" s="21" t="e">
        <f ca="1">_xll.BDP("V US 01/20/17 P67.5 Equity", " PX_POS_MULT_FACTOR")</f>
        <v>#NAME?</v>
      </c>
      <c r="V82" s="2" t="e">
        <f ca="1">_xll.BDP("V US 01/20/17 P67.5 Equity", " OPT_UNDL_PX")</f>
        <v>#NAME?</v>
      </c>
      <c r="W82" s="28">
        <v>-1.1508917299444003E-2</v>
      </c>
      <c r="X82" s="28">
        <v>5.5798065766481325E-4</v>
      </c>
      <c r="Y82" s="28">
        <v>-5.1545671167593332E-6</v>
      </c>
      <c r="Z82" s="28">
        <v>1.5692899126290707E-4</v>
      </c>
    </row>
    <row r="83" spans="5:26" x14ac:dyDescent="0.4">
      <c r="E83" s="2" t="s">
        <v>203</v>
      </c>
      <c r="F83" s="2" t="s">
        <v>11</v>
      </c>
      <c r="G83" s="2" t="s">
        <v>12</v>
      </c>
      <c r="H83" s="2" t="s">
        <v>13</v>
      </c>
      <c r="I83" s="2">
        <v>30</v>
      </c>
      <c r="J83" s="2" t="s">
        <v>155</v>
      </c>
      <c r="K83" s="2" t="s">
        <v>156</v>
      </c>
      <c r="L83" s="2">
        <v>6.3166699409500007</v>
      </c>
      <c r="M83" s="2" t="s">
        <v>16</v>
      </c>
      <c r="N83" s="2" t="s">
        <v>204</v>
      </c>
      <c r="O83" s="2" t="e">
        <f ca="1">_xll.BDP("VLO US 01/20/17 P55 Equity", " BID")</f>
        <v>#NAME?</v>
      </c>
      <c r="P83" s="2" t="e">
        <f ca="1">_xll.BDP("VLO US 01/20/17 P55 Equity", " ASK")</f>
        <v>#NAME?</v>
      </c>
      <c r="Q83" s="2" t="e">
        <f ca="1">_xll.BDP("VLO US 01/20/17 P55 Equity", " DELTA_MID_RT")</f>
        <v>#NAME?</v>
      </c>
      <c r="R83" s="2" t="e">
        <f ca="1">_xll.BDP("VLO US 01/20/17 P55 Equity", " GAMMA_MID_RT")</f>
        <v>#NAME?</v>
      </c>
      <c r="S83" s="2" t="e">
        <f ca="1">_xll.BDP("VLO US 01/20/17 P55 Equity", " VEGA_MID_RT")</f>
        <v>#NAME?</v>
      </c>
      <c r="T83" s="2" t="e">
        <f ca="1">_xll.BDP("VLO US 01/20/17 P55 Equity", " THETA_MID_RT")</f>
        <v>#NAME?</v>
      </c>
      <c r="U83" s="21" t="e">
        <f ca="1">_xll.BDP("VLO US 01/20/17 P55 Equity", " PX_POS_MULT_FACTOR")</f>
        <v>#NAME?</v>
      </c>
      <c r="V83" s="2" t="e">
        <f ca="1">_xll.BDP("VLO US 01/20/17 P55 Equity", " OPT_UNDL_PX")</f>
        <v>#NAME?</v>
      </c>
      <c r="W83" s="28">
        <v>-6.8620427132644966E-3</v>
      </c>
      <c r="X83" s="28">
        <v>2.6385174900714857E-4</v>
      </c>
      <c r="Y83" s="28">
        <v>-4.2643367752184262E-6</v>
      </c>
      <c r="Z83" s="28">
        <v>9.7489753772835586E-5</v>
      </c>
    </row>
    <row r="84" spans="5:26" x14ac:dyDescent="0.4">
      <c r="E84" s="2" t="s">
        <v>205</v>
      </c>
      <c r="F84" s="2" t="s">
        <v>11</v>
      </c>
      <c r="G84" s="2" t="s">
        <v>12</v>
      </c>
      <c r="H84" s="2" t="s">
        <v>13</v>
      </c>
      <c r="I84" s="2">
        <v>3</v>
      </c>
      <c r="J84" s="2" t="s">
        <v>155</v>
      </c>
      <c r="K84" s="2" t="s">
        <v>156</v>
      </c>
      <c r="L84" s="2">
        <v>6.5500001907300005</v>
      </c>
      <c r="M84" s="2" t="s">
        <v>16</v>
      </c>
      <c r="N84" s="2" t="s">
        <v>206</v>
      </c>
      <c r="O84" s="2" t="e">
        <f ca="1">_xll.BDP("VLO US 01/20/17 P65 Equity", " BID")</f>
        <v>#NAME?</v>
      </c>
      <c r="P84" s="2" t="e">
        <f ca="1">_xll.BDP("VLO US 01/20/17 P65 Equity", " ASK")</f>
        <v>#NAME?</v>
      </c>
      <c r="Q84" s="2" t="e">
        <f ca="1">_xll.BDP("VLO US 01/20/17 P65 Equity", " DELTA_MID_RT")</f>
        <v>#NAME?</v>
      </c>
      <c r="R84" s="2" t="e">
        <f ca="1">_xll.BDP("VLO US 01/20/17 P65 Equity", " GAMMA_MID_RT")</f>
        <v>#NAME?</v>
      </c>
      <c r="S84" s="2" t="e">
        <f ca="1">_xll.BDP("VLO US 01/20/17 P65 Equity", " VEGA_MID_RT")</f>
        <v>#NAME?</v>
      </c>
      <c r="T84" s="2" t="e">
        <f ca="1">_xll.BDP("VLO US 01/20/17 P65 Equity", " THETA_MID_RT")</f>
        <v>#NAME?</v>
      </c>
      <c r="U84" s="21" t="e">
        <f ca="1">_xll.BDP("VLO US 01/20/17 P65 Equity", " PX_POS_MULT_FACTOR")</f>
        <v>#NAME?</v>
      </c>
      <c r="V84" s="2" t="e">
        <f ca="1">_xll.BDP("VLO US 01/20/17 P65 Equity", " OPT_UNDL_PX")</f>
        <v>#NAME?</v>
      </c>
      <c r="W84" s="28">
        <v>-1.1835417803018268E-3</v>
      </c>
      <c r="X84" s="28">
        <v>3.8286962192216046E-5</v>
      </c>
      <c r="Y84" s="28">
        <v>-5.0873709293089744E-7</v>
      </c>
      <c r="Z84" s="28">
        <v>1.278986497220016E-5</v>
      </c>
    </row>
    <row r="85" spans="5:26" x14ac:dyDescent="0.4">
      <c r="E85" s="2" t="s">
        <v>207</v>
      </c>
      <c r="F85" s="2" t="s">
        <v>11</v>
      </c>
      <c r="G85" s="2" t="s">
        <v>12</v>
      </c>
      <c r="H85" s="2" t="s">
        <v>13</v>
      </c>
      <c r="I85" s="2">
        <v>22</v>
      </c>
      <c r="J85" s="2" t="s">
        <v>37</v>
      </c>
      <c r="K85" s="2" t="s">
        <v>38</v>
      </c>
      <c r="L85" s="2">
        <v>6.8499999046300006</v>
      </c>
      <c r="M85" s="2" t="s">
        <v>16</v>
      </c>
      <c r="N85" s="2" t="s">
        <v>208</v>
      </c>
      <c r="O85" s="2" t="e">
        <f ca="1">_xll.BDP("VMC US 01/20/17 P80 Equity", " BID")</f>
        <v>#NAME?</v>
      </c>
      <c r="P85" s="2" t="e">
        <f ca="1">_xll.BDP("VMC US 01/20/17 P80 Equity", " ASK")</f>
        <v>#NAME?</v>
      </c>
      <c r="Q85" s="2" t="e">
        <f ca="1">_xll.BDP("VMC US 01/20/17 P80 Equity", " DELTA_MID_RT")</f>
        <v>#NAME?</v>
      </c>
      <c r="R85" s="2" t="e">
        <f ca="1">_xll.BDP("VMC US 01/20/17 P80 Equity", " GAMMA_MID_RT")</f>
        <v>#NAME?</v>
      </c>
      <c r="S85" s="2" t="e">
        <f ca="1">_xll.BDP("VMC US 01/20/17 P80 Equity", " VEGA_MID_RT")</f>
        <v>#NAME?</v>
      </c>
      <c r="T85" s="2" t="e">
        <f ca="1">_xll.BDP("VMC US 01/20/17 P80 Equity", " THETA_MID_RT")</f>
        <v>#NAME?</v>
      </c>
      <c r="U85" s="21" t="e">
        <f ca="1">_xll.BDP("VMC US 01/20/17 P80 Equity", " PX_POS_MULT_FACTOR")</f>
        <v>#NAME?</v>
      </c>
      <c r="V85" s="2" t="e">
        <f ca="1">_xll.BDP("VMC US 01/20/17 P80 Equity", " OPT_UNDL_PX")</f>
        <v>#NAME?</v>
      </c>
      <c r="W85" s="28">
        <v>-8.1141937308975374E-3</v>
      </c>
      <c r="X85" s="28">
        <v>2.8242151040508342E-4</v>
      </c>
      <c r="Y85" s="28">
        <v>-4.89626687847498E-6</v>
      </c>
      <c r="Z85" s="28">
        <v>1.0810999205718825E-4</v>
      </c>
    </row>
    <row r="86" spans="5:26" x14ac:dyDescent="0.4">
      <c r="E86" s="2" t="s">
        <v>209</v>
      </c>
      <c r="F86" s="2" t="s">
        <v>11</v>
      </c>
      <c r="G86" s="2" t="s">
        <v>12</v>
      </c>
      <c r="H86" s="2" t="s">
        <v>13</v>
      </c>
      <c r="I86" s="2">
        <v>56</v>
      </c>
      <c r="J86" s="2" t="s">
        <v>21</v>
      </c>
      <c r="K86" s="2" t="s">
        <v>22</v>
      </c>
      <c r="L86" s="2">
        <v>2.1701100468600001</v>
      </c>
      <c r="M86" s="2" t="s">
        <v>16</v>
      </c>
      <c r="N86" s="2" t="s">
        <v>210</v>
      </c>
      <c r="O86" s="2" t="e">
        <f ca="1">_xll.BDP("WFC US 01/20/17 P45 Equity", " BID")</f>
        <v>#NAME?</v>
      </c>
      <c r="P86" s="2" t="e">
        <f ca="1">_xll.BDP("WFC US 01/20/17 P45 Equity", " ASK")</f>
        <v>#NAME?</v>
      </c>
      <c r="Q86" s="2" t="e">
        <f ca="1">_xll.BDP("WFC US 01/20/17 P45 Equity", " DELTA_MID_RT")</f>
        <v>#NAME?</v>
      </c>
      <c r="R86" s="2" t="e">
        <f ca="1">_xll.BDP("WFC US 01/20/17 P45 Equity", " GAMMA_MID_RT")</f>
        <v>#NAME?</v>
      </c>
      <c r="S86" s="2" t="e">
        <f ca="1">_xll.BDP("WFC US 01/20/17 P45 Equity", " VEGA_MID_RT")</f>
        <v>#NAME?</v>
      </c>
      <c r="T86" s="2" t="e">
        <f ca="1">_xll.BDP("WFC US 01/20/17 P45 Equity", " THETA_MID_RT")</f>
        <v>#NAME?</v>
      </c>
      <c r="U86" s="21" t="e">
        <f ca="1">_xll.BDP("WFC US 01/20/17 P45 Equity", " PX_POS_MULT_FACTOR")</f>
        <v>#NAME?</v>
      </c>
      <c r="V86" s="2" t="e">
        <f ca="1">_xll.BDP("WFC US 01/20/17 P45 Equity", " OPT_UNDL_PX")</f>
        <v>#NAME?</v>
      </c>
      <c r="W86" s="28">
        <v>-9.3035740822875294E-3</v>
      </c>
      <c r="X86" s="28">
        <v>5.4384631739475778E-4</v>
      </c>
      <c r="Y86" s="28">
        <v>-4.5404924543288334E-6</v>
      </c>
      <c r="Z86" s="28">
        <v>1.3521486894360604E-4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ositionButton">
              <controlPr defaultSize="0" print="0" autoFill="0" autoPict="0" macro="[0]!GetPositions">
                <anchor moveWithCells="1">
                  <from>
                    <xdr:col>0</xdr:col>
                    <xdr:colOff>95250</xdr:colOff>
                    <xdr:row>37</xdr:row>
                    <xdr:rowOff>114300</xdr:rowOff>
                  </from>
                  <to>
                    <xdr:col>1</xdr:col>
                    <xdr:colOff>76200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6" r:id="rId5" name="BookFilter">
              <controlPr defaultSize="0" autoLine="0" autoPict="0" macro="[0]!FilterByBook">
                <anchor moveWithCells="1">
                  <from>
                    <xdr:col>1</xdr:col>
                    <xdr:colOff>19050</xdr:colOff>
                    <xdr:row>6</xdr:row>
                    <xdr:rowOff>142875</xdr:rowOff>
                  </from>
                  <to>
                    <xdr:col>2</xdr:col>
                    <xdr:colOff>342900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0" r:id="rId6" name="PositionNameFilter">
              <controlPr defaultSize="0" autoLine="0" autoPict="0" macro="[0]!FilterByPositionShortname">
                <anchor moveWithCells="1">
                  <from>
                    <xdr:col>1</xdr:col>
                    <xdr:colOff>19050</xdr:colOff>
                    <xdr:row>9</xdr:row>
                    <xdr:rowOff>0</xdr:rowOff>
                  </from>
                  <to>
                    <xdr:col>2</xdr:col>
                    <xdr:colOff>314325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8" r:id="rId7" name="BloombergListBox">
              <controlPr defaultSize="0" autoLine="0" autoPict="0">
                <anchor moveWithCells="1">
                  <from>
                    <xdr:col>1</xdr:col>
                    <xdr:colOff>19050</xdr:colOff>
                    <xdr:row>13</xdr:row>
                    <xdr:rowOff>9525</xdr:rowOff>
                  </from>
                  <to>
                    <xdr:col>2</xdr:col>
                    <xdr:colOff>438150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6" r:id="rId8" name="PositionToggler">
              <controlPr defaultSize="0" autoFill="0" autoLine="0" autoPict="0" macro="[0]!TogglePositions">
                <anchor moveWithCells="1">
                  <from>
                    <xdr:col>1</xdr:col>
                    <xdr:colOff>228600</xdr:colOff>
                    <xdr:row>37</xdr:row>
                    <xdr:rowOff>104775</xdr:rowOff>
                  </from>
                  <to>
                    <xdr:col>2</xdr:col>
                    <xdr:colOff>533400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0" r:id="rId9" name="StagingButton">
              <controlPr defaultSize="0" print="0" autoFill="0" autoPict="0" macro="[0]!StagingButton_Click">
                <anchor moveWithCells="1">
                  <from>
                    <xdr:col>0</xdr:col>
                    <xdr:colOff>47625</xdr:colOff>
                    <xdr:row>41</xdr:row>
                    <xdr:rowOff>57150</xdr:rowOff>
                  </from>
                  <to>
                    <xdr:col>1</xdr:col>
                    <xdr:colOff>95250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7" r:id="rId10" name="ProdOption">
              <controlPr defaultSize="0" autoFill="0" autoLine="0" autoPict="0">
                <anchor moveWithCells="1">
                  <from>
                    <xdr:col>1</xdr:col>
                    <xdr:colOff>19050</xdr:colOff>
                    <xdr:row>4</xdr:row>
                    <xdr:rowOff>142875</xdr:rowOff>
                  </from>
                  <to>
                    <xdr:col>1</xdr:col>
                    <xdr:colOff>504825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8" r:id="rId11" name="BetaOption">
              <controlPr defaultSize="0" autoFill="0" autoLine="0" autoPict="0">
                <anchor moveWithCells="1">
                  <from>
                    <xdr:col>1</xdr:col>
                    <xdr:colOff>609600</xdr:colOff>
                    <xdr:row>4</xdr:row>
                    <xdr:rowOff>142875</xdr:rowOff>
                  </from>
                  <to>
                    <xdr:col>2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4" r:id="rId12" name="CalcsListBox">
              <controlPr defaultSize="0" autoLine="0" autoPict="0">
                <anchor moveWithCells="1">
                  <from>
                    <xdr:col>1</xdr:col>
                    <xdr:colOff>19050</xdr:colOff>
                    <xdr:row>25</xdr:row>
                    <xdr:rowOff>9525</xdr:rowOff>
                  </from>
                  <to>
                    <xdr:col>2</xdr:col>
                    <xdr:colOff>438150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89" r:id="rId13" name="CalcButton">
              <controlPr defaultSize="0" print="0" autoFill="0" autoPict="0" macro="[0]!calcFields">
                <anchor moveWithCells="1">
                  <from>
                    <xdr:col>0</xdr:col>
                    <xdr:colOff>104775</xdr:colOff>
                    <xdr:row>39</xdr:row>
                    <xdr:rowOff>85725</xdr:rowOff>
                  </from>
                  <to>
                    <xdr:col>1</xdr:col>
                    <xdr:colOff>85725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4" name="AumToggle">
              <controlPr defaultSize="0" autoFill="0" autoLine="0" autoPict="0" macro="[0]!TogglePositions">
                <anchor moveWithCells="1">
                  <from>
                    <xdr:col>1</xdr:col>
                    <xdr:colOff>219075</xdr:colOff>
                    <xdr:row>39</xdr:row>
                    <xdr:rowOff>38100</xdr:rowOff>
                  </from>
                  <to>
                    <xdr:col>2</xdr:col>
                    <xdr:colOff>523875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5" r:id="rId15" name="PositionCheckBox0">
              <controlPr defaultSize="0" autoFill="0" autoLine="0" autoPict="0">
                <anchor moveWithCells="1">
                  <from>
                    <xdr:col>2</xdr:col>
                    <xdr:colOff>600075</xdr:colOff>
                    <xdr:row>2</xdr:row>
                    <xdr:rowOff>152400</xdr:rowOff>
                  </from>
                  <to>
                    <xdr:col>4</xdr:col>
                    <xdr:colOff>9525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6" r:id="rId16" name="PositionCheckBox1">
              <controlPr defaultSize="0" autoFill="0" autoLine="0" autoPict="0">
                <anchor moveWithCells="1">
                  <from>
                    <xdr:col>2</xdr:col>
                    <xdr:colOff>600075</xdr:colOff>
                    <xdr:row>3</xdr:row>
                    <xdr:rowOff>142875</xdr:rowOff>
                  </from>
                  <to>
                    <xdr:col>4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7" r:id="rId17" name="PositionCheckBox2">
              <controlPr defaultSize="0" autoFill="0" autoLine="0" autoPict="0">
                <anchor moveWithCells="1">
                  <from>
                    <xdr:col>2</xdr:col>
                    <xdr:colOff>600075</xdr:colOff>
                    <xdr:row>4</xdr:row>
                    <xdr:rowOff>152400</xdr:rowOff>
                  </from>
                  <to>
                    <xdr:col>4</xdr:col>
                    <xdr:colOff>9525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8" r:id="rId18" name="PositionCheckBox3">
              <controlPr defaultSize="0" autoFill="0" autoLine="0" autoPict="0">
                <anchor moveWithCells="1">
                  <from>
                    <xdr:col>2</xdr:col>
                    <xdr:colOff>600075</xdr:colOff>
                    <xdr:row>5</xdr:row>
                    <xdr:rowOff>152400</xdr:rowOff>
                  </from>
                  <to>
                    <xdr:col>4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9" r:id="rId19" name="PositionCheckBox4">
              <controlPr defaultSize="0" autoFill="0" autoLine="0" autoPict="0">
                <anchor moveWithCells="1">
                  <from>
                    <xdr:col>2</xdr:col>
                    <xdr:colOff>600075</xdr:colOff>
                    <xdr:row>6</xdr:row>
                    <xdr:rowOff>152400</xdr:rowOff>
                  </from>
                  <to>
                    <xdr:col>4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0" r:id="rId20" name="PositionCheckBox5">
              <controlPr defaultSize="0" autoFill="0" autoLine="0" autoPict="0">
                <anchor moveWithCells="1">
                  <from>
                    <xdr:col>2</xdr:col>
                    <xdr:colOff>600075</xdr:colOff>
                    <xdr:row>7</xdr:row>
                    <xdr:rowOff>142875</xdr:rowOff>
                  </from>
                  <to>
                    <xdr:col>4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1" r:id="rId21" name="PositionCheckBox6">
              <controlPr defaultSize="0" autoFill="0" autoLine="0" autoPict="0">
                <anchor moveWithCells="1">
                  <from>
                    <xdr:col>2</xdr:col>
                    <xdr:colOff>600075</xdr:colOff>
                    <xdr:row>8</xdr:row>
                    <xdr:rowOff>152400</xdr:rowOff>
                  </from>
                  <to>
                    <xdr:col>4</xdr:col>
                    <xdr:colOff>9525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2" r:id="rId22" name="PositionCheckBox7">
              <controlPr defaultSize="0" autoFill="0" autoLine="0" autoPict="0">
                <anchor moveWithCells="1">
                  <from>
                    <xdr:col>2</xdr:col>
                    <xdr:colOff>600075</xdr:colOff>
                    <xdr:row>9</xdr:row>
                    <xdr:rowOff>152400</xdr:rowOff>
                  </from>
                  <to>
                    <xdr:col>4</xdr:col>
                    <xdr:colOff>9525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3" r:id="rId23" name="PositionCheckBox8">
              <controlPr defaultSize="0" autoFill="0" autoLine="0" autoPict="0">
                <anchor moveWithCells="1">
                  <from>
                    <xdr:col>2</xdr:col>
                    <xdr:colOff>600075</xdr:colOff>
                    <xdr:row>10</xdr:row>
                    <xdr:rowOff>152400</xdr:rowOff>
                  </from>
                  <to>
                    <xdr:col>4</xdr:col>
                    <xdr:colOff>9525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4" r:id="rId24" name="PositionCheckBox9">
              <controlPr defaultSize="0" autoFill="0" autoLine="0" autoPict="0">
                <anchor moveWithCells="1">
                  <from>
                    <xdr:col>2</xdr:col>
                    <xdr:colOff>600075</xdr:colOff>
                    <xdr:row>11</xdr:row>
                    <xdr:rowOff>142875</xdr:rowOff>
                  </from>
                  <to>
                    <xdr:col>4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5" r:id="rId25" name="PositionCheckBox10">
              <controlPr defaultSize="0" autoFill="0" autoLine="0" autoPict="0">
                <anchor moveWithCells="1">
                  <from>
                    <xdr:col>2</xdr:col>
                    <xdr:colOff>600075</xdr:colOff>
                    <xdr:row>12</xdr:row>
                    <xdr:rowOff>152400</xdr:rowOff>
                  </from>
                  <to>
                    <xdr:col>4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6" r:id="rId26" name="PositionCheckBox11">
              <controlPr defaultSize="0" autoFill="0" autoLine="0" autoPict="0">
                <anchor moveWithCells="1">
                  <from>
                    <xdr:col>2</xdr:col>
                    <xdr:colOff>600075</xdr:colOff>
                    <xdr:row>13</xdr:row>
                    <xdr:rowOff>152400</xdr:rowOff>
                  </from>
                  <to>
                    <xdr:col>4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7" r:id="rId27" name="PositionCheckBox12">
              <controlPr defaultSize="0" autoFill="0" autoLine="0" autoPict="0">
                <anchor moveWithCells="1">
                  <from>
                    <xdr:col>2</xdr:col>
                    <xdr:colOff>600075</xdr:colOff>
                    <xdr:row>14</xdr:row>
                    <xdr:rowOff>152400</xdr:rowOff>
                  </from>
                  <to>
                    <xdr:col>4</xdr:col>
                    <xdr:colOff>9525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8" r:id="rId28" name="PositionCheckBox13">
              <controlPr defaultSize="0" autoFill="0" autoLine="0" autoPict="0">
                <anchor moveWithCells="1">
                  <from>
                    <xdr:col>2</xdr:col>
                    <xdr:colOff>600075</xdr:colOff>
                    <xdr:row>15</xdr:row>
                    <xdr:rowOff>142875</xdr:rowOff>
                  </from>
                  <to>
                    <xdr:col>4</xdr:col>
                    <xdr:colOff>9525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9" r:id="rId29" name="PositionCheckBox14">
              <controlPr defaultSize="0" autoFill="0" autoLine="0" autoPict="0">
                <anchor moveWithCells="1">
                  <from>
                    <xdr:col>2</xdr:col>
                    <xdr:colOff>600075</xdr:colOff>
                    <xdr:row>16</xdr:row>
                    <xdr:rowOff>152400</xdr:rowOff>
                  </from>
                  <to>
                    <xdr:col>4</xdr:col>
                    <xdr:colOff>9525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0" r:id="rId30" name="PositionCheckBox15">
              <controlPr defaultSize="0" autoFill="0" autoLine="0" autoPict="0">
                <anchor moveWithCells="1">
                  <from>
                    <xdr:col>2</xdr:col>
                    <xdr:colOff>600075</xdr:colOff>
                    <xdr:row>17</xdr:row>
                    <xdr:rowOff>152400</xdr:rowOff>
                  </from>
                  <to>
                    <xdr:col>4</xdr:col>
                    <xdr:colOff>9525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1" r:id="rId31" name="PositionCheckBox16">
              <controlPr defaultSize="0" autoFill="0" autoLine="0" autoPict="0">
                <anchor moveWithCells="1">
                  <from>
                    <xdr:col>2</xdr:col>
                    <xdr:colOff>600075</xdr:colOff>
                    <xdr:row>18</xdr:row>
                    <xdr:rowOff>152400</xdr:rowOff>
                  </from>
                  <to>
                    <xdr:col>4</xdr:col>
                    <xdr:colOff>9525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2" r:id="rId32" name="PositionCheckBox17">
              <controlPr defaultSize="0" autoFill="0" autoLine="0" autoPict="0">
                <anchor moveWithCells="1">
                  <from>
                    <xdr:col>2</xdr:col>
                    <xdr:colOff>600075</xdr:colOff>
                    <xdr:row>19</xdr:row>
                    <xdr:rowOff>142875</xdr:rowOff>
                  </from>
                  <to>
                    <xdr:col>4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3" r:id="rId33" name="PositionCheckBox18">
              <controlPr defaultSize="0" autoFill="0" autoLine="0" autoPict="0">
                <anchor moveWithCells="1">
                  <from>
                    <xdr:col>2</xdr:col>
                    <xdr:colOff>600075</xdr:colOff>
                    <xdr:row>20</xdr:row>
                    <xdr:rowOff>152400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4" r:id="rId34" name="PositionCheckBox19">
              <controlPr defaultSize="0" autoFill="0" autoLine="0" autoPict="0">
                <anchor moveWithCells="1">
                  <from>
                    <xdr:col>2</xdr:col>
                    <xdr:colOff>600075</xdr:colOff>
                    <xdr:row>21</xdr:row>
                    <xdr:rowOff>152400</xdr:rowOff>
                  </from>
                  <to>
                    <xdr:col>4</xdr:col>
                    <xdr:colOff>9525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5" r:id="rId35" name="PositionCheckBox20">
              <controlPr defaultSize="0" autoFill="0" autoLine="0" autoPict="0">
                <anchor moveWithCells="1">
                  <from>
                    <xdr:col>2</xdr:col>
                    <xdr:colOff>600075</xdr:colOff>
                    <xdr:row>22</xdr:row>
                    <xdr:rowOff>152400</xdr:rowOff>
                  </from>
                  <to>
                    <xdr:col>4</xdr:col>
                    <xdr:colOff>9525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6" r:id="rId36" name="PositionCheckBox21">
              <controlPr defaultSize="0" autoFill="0" autoLine="0" autoPict="0">
                <anchor moveWithCells="1">
                  <from>
                    <xdr:col>2</xdr:col>
                    <xdr:colOff>600075</xdr:colOff>
                    <xdr:row>23</xdr:row>
                    <xdr:rowOff>142875</xdr:rowOff>
                  </from>
                  <to>
                    <xdr:col>4</xdr:col>
                    <xdr:colOff>9525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7" r:id="rId37" name="PositionCheckBox22">
              <controlPr defaultSize="0" autoFill="0" autoLine="0" autoPict="0">
                <anchor moveWithCells="1">
                  <from>
                    <xdr:col>2</xdr:col>
                    <xdr:colOff>600075</xdr:colOff>
                    <xdr:row>24</xdr:row>
                    <xdr:rowOff>152400</xdr:rowOff>
                  </from>
                  <to>
                    <xdr:col>4</xdr:col>
                    <xdr:colOff>9525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8" r:id="rId38" name="PositionCheckBox23">
              <controlPr defaultSize="0" autoFill="0" autoLine="0" autoPict="0">
                <anchor moveWithCells="1">
                  <from>
                    <xdr:col>2</xdr:col>
                    <xdr:colOff>600075</xdr:colOff>
                    <xdr:row>25</xdr:row>
                    <xdr:rowOff>152400</xdr:rowOff>
                  </from>
                  <to>
                    <xdr:col>4</xdr:col>
                    <xdr:colOff>9525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9" r:id="rId39" name="PositionCheckBox24">
              <controlPr defaultSize="0" autoFill="0" autoLine="0" autoPict="0">
                <anchor moveWithCells="1">
                  <from>
                    <xdr:col>2</xdr:col>
                    <xdr:colOff>600075</xdr:colOff>
                    <xdr:row>26</xdr:row>
                    <xdr:rowOff>152400</xdr:rowOff>
                  </from>
                  <to>
                    <xdr:col>4</xdr:col>
                    <xdr:colOff>9525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0" r:id="rId40" name="PositionCheckBox25">
              <controlPr defaultSize="0" autoFill="0" autoLine="0" autoPict="0">
                <anchor moveWithCells="1">
                  <from>
                    <xdr:col>2</xdr:col>
                    <xdr:colOff>600075</xdr:colOff>
                    <xdr:row>27</xdr:row>
                    <xdr:rowOff>142875</xdr:rowOff>
                  </from>
                  <to>
                    <xdr:col>4</xdr:col>
                    <xdr:colOff>9525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1" r:id="rId41" name="PositionCheckBox26">
              <controlPr defaultSize="0" autoFill="0" autoLine="0" autoPict="0">
                <anchor moveWithCells="1">
                  <from>
                    <xdr:col>2</xdr:col>
                    <xdr:colOff>600075</xdr:colOff>
                    <xdr:row>28</xdr:row>
                    <xdr:rowOff>152400</xdr:rowOff>
                  </from>
                  <to>
                    <xdr:col>4</xdr:col>
                    <xdr:colOff>9525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2" r:id="rId42" name="PositionCheckBox27">
              <controlPr defaultSize="0" autoFill="0" autoLine="0" autoPict="0">
                <anchor moveWithCells="1">
                  <from>
                    <xdr:col>2</xdr:col>
                    <xdr:colOff>600075</xdr:colOff>
                    <xdr:row>29</xdr:row>
                    <xdr:rowOff>152400</xdr:rowOff>
                  </from>
                  <to>
                    <xdr:col>4</xdr:col>
                    <xdr:colOff>9525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3" r:id="rId43" name="PositionCheckBox28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152400</xdr:rowOff>
                  </from>
                  <to>
                    <xdr:col>4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4" r:id="rId44" name="PositionCheckBox29">
              <controlPr defaultSize="0" autoFill="0" autoLine="0" autoPict="0">
                <anchor moveWithCells="1">
                  <from>
                    <xdr:col>2</xdr:col>
                    <xdr:colOff>600075</xdr:colOff>
                    <xdr:row>31</xdr:row>
                    <xdr:rowOff>142875</xdr:rowOff>
                  </from>
                  <to>
                    <xdr:col>4</xdr:col>
                    <xdr:colOff>9525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5" r:id="rId45" name="PositionCheckBox30">
              <controlPr defaultSize="0" autoFill="0" autoLine="0" autoPict="0">
                <anchor moveWithCells="1">
                  <from>
                    <xdr:col>2</xdr:col>
                    <xdr:colOff>600075</xdr:colOff>
                    <xdr:row>32</xdr:row>
                    <xdr:rowOff>152400</xdr:rowOff>
                  </from>
                  <to>
                    <xdr:col>4</xdr:col>
                    <xdr:colOff>9525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6" r:id="rId46" name="PositionCheckBox31">
              <controlPr defaultSize="0" autoFill="0" autoLine="0" autoPict="0">
                <anchor moveWithCells="1">
                  <from>
                    <xdr:col>2</xdr:col>
                    <xdr:colOff>600075</xdr:colOff>
                    <xdr:row>33</xdr:row>
                    <xdr:rowOff>152400</xdr:rowOff>
                  </from>
                  <to>
                    <xdr:col>4</xdr:col>
                    <xdr:colOff>9525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7" r:id="rId47" name="PositionCheckBox32">
              <controlPr defaultSize="0" autoFill="0" autoLine="0" autoPict="0">
                <anchor moveWithCells="1">
                  <from>
                    <xdr:col>2</xdr:col>
                    <xdr:colOff>600075</xdr:colOff>
                    <xdr:row>34</xdr:row>
                    <xdr:rowOff>152400</xdr:rowOff>
                  </from>
                  <to>
                    <xdr:col>4</xdr:col>
                    <xdr:colOff>9525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8" r:id="rId48" name="PositionCheckBox33">
              <controlPr defaultSize="0" autoFill="0" autoLine="0" autoPict="0">
                <anchor moveWithCells="1">
                  <from>
                    <xdr:col>2</xdr:col>
                    <xdr:colOff>600075</xdr:colOff>
                    <xdr:row>35</xdr:row>
                    <xdr:rowOff>142875</xdr:rowOff>
                  </from>
                  <to>
                    <xdr:col>4</xdr:col>
                    <xdr:colOff>9525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9" r:id="rId49" name="PositionCheckBox34">
              <controlPr defaultSize="0" autoFill="0" autoLine="0" autoPict="0">
                <anchor moveWithCells="1">
                  <from>
                    <xdr:col>2</xdr:col>
                    <xdr:colOff>600075</xdr:colOff>
                    <xdr:row>36</xdr:row>
                    <xdr:rowOff>152400</xdr:rowOff>
                  </from>
                  <to>
                    <xdr:col>4</xdr:col>
                    <xdr:colOff>9525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0" r:id="rId50" name="PositionCheckBox35">
              <controlPr defaultSize="0" autoFill="0" autoLine="0" autoPict="0">
                <anchor moveWithCells="1">
                  <from>
                    <xdr:col>2</xdr:col>
                    <xdr:colOff>600075</xdr:colOff>
                    <xdr:row>37</xdr:row>
                    <xdr:rowOff>152400</xdr:rowOff>
                  </from>
                  <to>
                    <xdr:col>4</xdr:col>
                    <xdr:colOff>9525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1" r:id="rId51" name="PositionCheckBox36">
              <controlPr defaultSize="0" autoFill="0" autoLine="0" autoPict="0">
                <anchor moveWithCells="1">
                  <from>
                    <xdr:col>2</xdr:col>
                    <xdr:colOff>600075</xdr:colOff>
                    <xdr:row>38</xdr:row>
                    <xdr:rowOff>152400</xdr:rowOff>
                  </from>
                  <to>
                    <xdr:col>4</xdr:col>
                    <xdr:colOff>9525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2" r:id="rId52" name="PositionCheckBox37">
              <controlPr defaultSize="0" autoFill="0" autoLine="0" autoPict="0">
                <anchor moveWithCells="1">
                  <from>
                    <xdr:col>2</xdr:col>
                    <xdr:colOff>600075</xdr:colOff>
                    <xdr:row>39</xdr:row>
                    <xdr:rowOff>142875</xdr:rowOff>
                  </from>
                  <to>
                    <xdr:col>4</xdr:col>
                    <xdr:colOff>9525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3" r:id="rId53" name="PositionCheckBox38">
              <controlPr defaultSize="0" autoFill="0" autoLine="0" autoPict="0">
                <anchor moveWithCells="1">
                  <from>
                    <xdr:col>2</xdr:col>
                    <xdr:colOff>600075</xdr:colOff>
                    <xdr:row>40</xdr:row>
                    <xdr:rowOff>152400</xdr:rowOff>
                  </from>
                  <to>
                    <xdr:col>4</xdr:col>
                    <xdr:colOff>9525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4" r:id="rId54" name="PositionCheckBox39">
              <controlPr defaultSize="0" autoFill="0" autoLine="0" autoPict="0">
                <anchor moveWithCells="1">
                  <from>
                    <xdr:col>2</xdr:col>
                    <xdr:colOff>600075</xdr:colOff>
                    <xdr:row>41</xdr:row>
                    <xdr:rowOff>152400</xdr:rowOff>
                  </from>
                  <to>
                    <xdr:col>4</xdr:col>
                    <xdr:colOff>9525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5" r:id="rId55" name="PositionCheckBox40">
              <controlPr defaultSize="0" autoFill="0" autoLine="0" autoPict="0">
                <anchor moveWithCells="1">
                  <from>
                    <xdr:col>2</xdr:col>
                    <xdr:colOff>600075</xdr:colOff>
                    <xdr:row>42</xdr:row>
                    <xdr:rowOff>152400</xdr:rowOff>
                  </from>
                  <to>
                    <xdr:col>4</xdr:col>
                    <xdr:colOff>9525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6" r:id="rId56" name="PositionCheckBox41">
              <controlPr defaultSize="0" autoFill="0" autoLine="0" autoPict="0">
                <anchor moveWithCells="1">
                  <from>
                    <xdr:col>2</xdr:col>
                    <xdr:colOff>600075</xdr:colOff>
                    <xdr:row>43</xdr:row>
                    <xdr:rowOff>142875</xdr:rowOff>
                  </from>
                  <to>
                    <xdr:col>4</xdr:col>
                    <xdr:colOff>9525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7" r:id="rId57" name="PositionCheckBox42">
              <controlPr defaultSize="0" autoFill="0" autoLine="0" autoPict="0">
                <anchor moveWithCells="1">
                  <from>
                    <xdr:col>2</xdr:col>
                    <xdr:colOff>600075</xdr:colOff>
                    <xdr:row>44</xdr:row>
                    <xdr:rowOff>152400</xdr:rowOff>
                  </from>
                  <to>
                    <xdr:col>4</xdr:col>
                    <xdr:colOff>9525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8" r:id="rId58" name="PositionCheckBox43">
              <controlPr defaultSize="0" autoFill="0" autoLine="0" autoPict="0">
                <anchor moveWithCells="1">
                  <from>
                    <xdr:col>2</xdr:col>
                    <xdr:colOff>600075</xdr:colOff>
                    <xdr:row>45</xdr:row>
                    <xdr:rowOff>152400</xdr:rowOff>
                  </from>
                  <to>
                    <xdr:col>4</xdr:col>
                    <xdr:colOff>9525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9" r:id="rId59" name="PositionCheckBox44">
              <controlPr defaultSize="0" autoFill="0" autoLine="0" autoPict="0">
                <anchor moveWithCells="1">
                  <from>
                    <xdr:col>2</xdr:col>
                    <xdr:colOff>600075</xdr:colOff>
                    <xdr:row>46</xdr:row>
                    <xdr:rowOff>152400</xdr:rowOff>
                  </from>
                  <to>
                    <xdr:col>4</xdr:col>
                    <xdr:colOff>9525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0" r:id="rId60" name="PositionCheckBox45">
              <controlPr defaultSize="0" autoFill="0" autoLine="0" autoPict="0">
                <anchor moveWithCells="1">
                  <from>
                    <xdr:col>2</xdr:col>
                    <xdr:colOff>600075</xdr:colOff>
                    <xdr:row>47</xdr:row>
                    <xdr:rowOff>142875</xdr:rowOff>
                  </from>
                  <to>
                    <xdr:col>4</xdr:col>
                    <xdr:colOff>9525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1" r:id="rId61" name="PositionCheckBox46">
              <controlPr defaultSize="0" autoFill="0" autoLine="0" autoPict="0">
                <anchor moveWithCells="1">
                  <from>
                    <xdr:col>2</xdr:col>
                    <xdr:colOff>600075</xdr:colOff>
                    <xdr:row>48</xdr:row>
                    <xdr:rowOff>152400</xdr:rowOff>
                  </from>
                  <to>
                    <xdr:col>4</xdr:col>
                    <xdr:colOff>9525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2" r:id="rId62" name="PositionCheckBox47">
              <controlPr defaultSize="0" autoFill="0" autoLine="0" autoPict="0">
                <anchor moveWithCells="1">
                  <from>
                    <xdr:col>2</xdr:col>
                    <xdr:colOff>600075</xdr:colOff>
                    <xdr:row>49</xdr:row>
                    <xdr:rowOff>152400</xdr:rowOff>
                  </from>
                  <to>
                    <xdr:col>4</xdr:col>
                    <xdr:colOff>9525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3" r:id="rId63" name="PositionCheckBox48">
              <controlPr defaultSize="0" autoFill="0" autoLine="0" autoPict="0">
                <anchor moveWithCells="1">
                  <from>
                    <xdr:col>2</xdr:col>
                    <xdr:colOff>600075</xdr:colOff>
                    <xdr:row>50</xdr:row>
                    <xdr:rowOff>152400</xdr:rowOff>
                  </from>
                  <to>
                    <xdr:col>4</xdr:col>
                    <xdr:colOff>9525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4" r:id="rId64" name="PositionCheckBox49">
              <controlPr defaultSize="0" autoFill="0" autoLine="0" autoPict="0">
                <anchor moveWithCells="1">
                  <from>
                    <xdr:col>2</xdr:col>
                    <xdr:colOff>600075</xdr:colOff>
                    <xdr:row>51</xdr:row>
                    <xdr:rowOff>142875</xdr:rowOff>
                  </from>
                  <to>
                    <xdr:col>4</xdr:col>
                    <xdr:colOff>9525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5" r:id="rId65" name="PositionCheckBox50">
              <controlPr defaultSize="0" autoFill="0" autoLine="0" autoPict="0">
                <anchor moveWithCells="1">
                  <from>
                    <xdr:col>2</xdr:col>
                    <xdr:colOff>600075</xdr:colOff>
                    <xdr:row>52</xdr:row>
                    <xdr:rowOff>152400</xdr:rowOff>
                  </from>
                  <to>
                    <xdr:col>4</xdr:col>
                    <xdr:colOff>9525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6" r:id="rId66" name="PositionCheckBox51">
              <controlPr defaultSize="0" autoFill="0" autoLine="0" autoPict="0">
                <anchor moveWithCells="1">
                  <from>
                    <xdr:col>2</xdr:col>
                    <xdr:colOff>600075</xdr:colOff>
                    <xdr:row>53</xdr:row>
                    <xdr:rowOff>152400</xdr:rowOff>
                  </from>
                  <to>
                    <xdr:col>4</xdr:col>
                    <xdr:colOff>9525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7" r:id="rId67" name="PositionCheckBox52">
              <controlPr defaultSize="0" autoFill="0" autoLine="0" autoPict="0">
                <anchor moveWithCells="1">
                  <from>
                    <xdr:col>2</xdr:col>
                    <xdr:colOff>600075</xdr:colOff>
                    <xdr:row>54</xdr:row>
                    <xdr:rowOff>152400</xdr:rowOff>
                  </from>
                  <to>
                    <xdr:col>4</xdr:col>
                    <xdr:colOff>9525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8" r:id="rId68" name="PositionCheckBox53">
              <controlPr defaultSize="0" autoFill="0" autoLine="0" autoPict="0">
                <anchor moveWithCells="1">
                  <from>
                    <xdr:col>2</xdr:col>
                    <xdr:colOff>600075</xdr:colOff>
                    <xdr:row>55</xdr:row>
                    <xdr:rowOff>142875</xdr:rowOff>
                  </from>
                  <to>
                    <xdr:col>4</xdr:col>
                    <xdr:colOff>9525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9" r:id="rId69" name="PositionCheckBox54">
              <controlPr defaultSize="0" autoFill="0" autoLine="0" autoPict="0">
                <anchor moveWithCells="1">
                  <from>
                    <xdr:col>2</xdr:col>
                    <xdr:colOff>600075</xdr:colOff>
                    <xdr:row>56</xdr:row>
                    <xdr:rowOff>152400</xdr:rowOff>
                  </from>
                  <to>
                    <xdr:col>4</xdr:col>
                    <xdr:colOff>9525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0" r:id="rId70" name="PositionCheckBox55">
              <controlPr defaultSize="0" autoFill="0" autoLine="0" autoPict="0">
                <anchor moveWithCells="1">
                  <from>
                    <xdr:col>2</xdr:col>
                    <xdr:colOff>600075</xdr:colOff>
                    <xdr:row>57</xdr:row>
                    <xdr:rowOff>152400</xdr:rowOff>
                  </from>
                  <to>
                    <xdr:col>4</xdr:col>
                    <xdr:colOff>9525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1" r:id="rId71" name="PositionCheckBox56">
              <controlPr defaultSize="0" autoFill="0" autoLine="0" autoPict="0">
                <anchor moveWithCells="1">
                  <from>
                    <xdr:col>2</xdr:col>
                    <xdr:colOff>600075</xdr:colOff>
                    <xdr:row>58</xdr:row>
                    <xdr:rowOff>152400</xdr:rowOff>
                  </from>
                  <to>
                    <xdr:col>4</xdr:col>
                    <xdr:colOff>9525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2" r:id="rId72" name="PositionCheckBox57">
              <controlPr defaultSize="0" autoFill="0" autoLine="0" autoPict="0">
                <anchor moveWithCells="1">
                  <from>
                    <xdr:col>2</xdr:col>
                    <xdr:colOff>600075</xdr:colOff>
                    <xdr:row>59</xdr:row>
                    <xdr:rowOff>142875</xdr:rowOff>
                  </from>
                  <to>
                    <xdr:col>4</xdr:col>
                    <xdr:colOff>9525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3" r:id="rId73" name="PositionCheckBox58">
              <controlPr defaultSize="0" autoFill="0" autoLine="0" autoPict="0">
                <anchor moveWithCells="1">
                  <from>
                    <xdr:col>2</xdr:col>
                    <xdr:colOff>600075</xdr:colOff>
                    <xdr:row>60</xdr:row>
                    <xdr:rowOff>152400</xdr:rowOff>
                  </from>
                  <to>
                    <xdr:col>4</xdr:col>
                    <xdr:colOff>9525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4" r:id="rId74" name="PositionCheckBox59">
              <controlPr defaultSize="0" autoFill="0" autoLine="0" autoPict="0">
                <anchor moveWithCells="1">
                  <from>
                    <xdr:col>2</xdr:col>
                    <xdr:colOff>600075</xdr:colOff>
                    <xdr:row>61</xdr:row>
                    <xdr:rowOff>152400</xdr:rowOff>
                  </from>
                  <to>
                    <xdr:col>4</xdr:col>
                    <xdr:colOff>9525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5" r:id="rId75" name="PositionCheckBox60">
              <controlPr defaultSize="0" autoFill="0" autoLine="0" autoPict="0">
                <anchor moveWithCells="1">
                  <from>
                    <xdr:col>2</xdr:col>
                    <xdr:colOff>600075</xdr:colOff>
                    <xdr:row>62</xdr:row>
                    <xdr:rowOff>152400</xdr:rowOff>
                  </from>
                  <to>
                    <xdr:col>4</xdr:col>
                    <xdr:colOff>9525</xdr:colOff>
                    <xdr:row>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6" r:id="rId76" name="PositionCheckBox61">
              <controlPr defaultSize="0" autoFill="0" autoLine="0" autoPict="0">
                <anchor moveWithCells="1">
                  <from>
                    <xdr:col>2</xdr:col>
                    <xdr:colOff>600075</xdr:colOff>
                    <xdr:row>63</xdr:row>
                    <xdr:rowOff>142875</xdr:rowOff>
                  </from>
                  <to>
                    <xdr:col>4</xdr:col>
                    <xdr:colOff>9525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7" r:id="rId77" name="PositionCheckBox62">
              <controlPr defaultSize="0" autoFill="0" autoLine="0" autoPict="0">
                <anchor moveWithCells="1">
                  <from>
                    <xdr:col>2</xdr:col>
                    <xdr:colOff>600075</xdr:colOff>
                    <xdr:row>64</xdr:row>
                    <xdr:rowOff>152400</xdr:rowOff>
                  </from>
                  <to>
                    <xdr:col>4</xdr:col>
                    <xdr:colOff>9525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8" r:id="rId78" name="PositionCheckBox63">
              <controlPr defaultSize="0" autoFill="0" autoLine="0" autoPict="0">
                <anchor moveWithCells="1">
                  <from>
                    <xdr:col>2</xdr:col>
                    <xdr:colOff>600075</xdr:colOff>
                    <xdr:row>65</xdr:row>
                    <xdr:rowOff>152400</xdr:rowOff>
                  </from>
                  <to>
                    <xdr:col>4</xdr:col>
                    <xdr:colOff>9525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9" r:id="rId79" name="PositionCheckBox64">
              <controlPr defaultSize="0" autoFill="0" autoLine="0" autoPict="0">
                <anchor moveWithCells="1">
                  <from>
                    <xdr:col>2</xdr:col>
                    <xdr:colOff>600075</xdr:colOff>
                    <xdr:row>66</xdr:row>
                    <xdr:rowOff>152400</xdr:rowOff>
                  </from>
                  <to>
                    <xdr:col>4</xdr:col>
                    <xdr:colOff>9525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0" r:id="rId80" name="PositionCheckBox65">
              <controlPr defaultSize="0" autoFill="0" autoLine="0" autoPict="0">
                <anchor moveWithCells="1">
                  <from>
                    <xdr:col>2</xdr:col>
                    <xdr:colOff>600075</xdr:colOff>
                    <xdr:row>67</xdr:row>
                    <xdr:rowOff>142875</xdr:rowOff>
                  </from>
                  <to>
                    <xdr:col>4</xdr:col>
                    <xdr:colOff>9525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1" r:id="rId81" name="PositionCheckBox66">
              <controlPr defaultSize="0" autoFill="0" autoLine="0" autoPict="0">
                <anchor moveWithCells="1">
                  <from>
                    <xdr:col>2</xdr:col>
                    <xdr:colOff>600075</xdr:colOff>
                    <xdr:row>68</xdr:row>
                    <xdr:rowOff>152400</xdr:rowOff>
                  </from>
                  <to>
                    <xdr:col>4</xdr:col>
                    <xdr:colOff>9525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2" r:id="rId82" name="PositionCheckBox67">
              <controlPr defaultSize="0" autoFill="0" autoLine="0" autoPict="0">
                <anchor moveWithCells="1">
                  <from>
                    <xdr:col>2</xdr:col>
                    <xdr:colOff>600075</xdr:colOff>
                    <xdr:row>69</xdr:row>
                    <xdr:rowOff>152400</xdr:rowOff>
                  </from>
                  <to>
                    <xdr:col>4</xdr:col>
                    <xdr:colOff>9525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3" r:id="rId83" name="PositionCheckBox68">
              <controlPr defaultSize="0" autoFill="0" autoLine="0" autoPict="0">
                <anchor moveWithCells="1">
                  <from>
                    <xdr:col>2</xdr:col>
                    <xdr:colOff>600075</xdr:colOff>
                    <xdr:row>70</xdr:row>
                    <xdr:rowOff>152400</xdr:rowOff>
                  </from>
                  <to>
                    <xdr:col>4</xdr:col>
                    <xdr:colOff>9525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4" r:id="rId84" name="PositionCheckBox69">
              <controlPr defaultSize="0" autoFill="0" autoLine="0" autoPict="0">
                <anchor moveWithCells="1">
                  <from>
                    <xdr:col>2</xdr:col>
                    <xdr:colOff>600075</xdr:colOff>
                    <xdr:row>71</xdr:row>
                    <xdr:rowOff>142875</xdr:rowOff>
                  </from>
                  <to>
                    <xdr:col>4</xdr:col>
                    <xdr:colOff>9525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5" r:id="rId85" name="PositionCheckBox70">
              <controlPr defaultSize="0" autoFill="0" autoLine="0" autoPict="0">
                <anchor moveWithCells="1">
                  <from>
                    <xdr:col>2</xdr:col>
                    <xdr:colOff>600075</xdr:colOff>
                    <xdr:row>72</xdr:row>
                    <xdr:rowOff>152400</xdr:rowOff>
                  </from>
                  <to>
                    <xdr:col>4</xdr:col>
                    <xdr:colOff>9525</xdr:colOff>
                    <xdr:row>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6" r:id="rId86" name="PositionCheckBox71">
              <controlPr defaultSize="0" autoFill="0" autoLine="0" autoPict="0">
                <anchor moveWithCells="1">
                  <from>
                    <xdr:col>2</xdr:col>
                    <xdr:colOff>600075</xdr:colOff>
                    <xdr:row>73</xdr:row>
                    <xdr:rowOff>152400</xdr:rowOff>
                  </from>
                  <to>
                    <xdr:col>4</xdr:col>
                    <xdr:colOff>9525</xdr:colOff>
                    <xdr:row>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7" r:id="rId87" name="PositionCheckBox72">
              <controlPr defaultSize="0" autoFill="0" autoLine="0" autoPict="0">
                <anchor moveWithCells="1">
                  <from>
                    <xdr:col>2</xdr:col>
                    <xdr:colOff>600075</xdr:colOff>
                    <xdr:row>74</xdr:row>
                    <xdr:rowOff>152400</xdr:rowOff>
                  </from>
                  <to>
                    <xdr:col>4</xdr:col>
                    <xdr:colOff>9525</xdr:colOff>
                    <xdr:row>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8" r:id="rId88" name="PositionCheckBox73">
              <controlPr defaultSize="0" autoFill="0" autoLine="0" autoPict="0">
                <anchor moveWithCells="1">
                  <from>
                    <xdr:col>2</xdr:col>
                    <xdr:colOff>600075</xdr:colOff>
                    <xdr:row>75</xdr:row>
                    <xdr:rowOff>142875</xdr:rowOff>
                  </from>
                  <to>
                    <xdr:col>4</xdr:col>
                    <xdr:colOff>9525</xdr:colOff>
                    <xdr:row>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9" r:id="rId89" name="PositionCheckBox74">
              <controlPr defaultSize="0" autoFill="0" autoLine="0" autoPict="0">
                <anchor moveWithCells="1">
                  <from>
                    <xdr:col>2</xdr:col>
                    <xdr:colOff>600075</xdr:colOff>
                    <xdr:row>76</xdr:row>
                    <xdr:rowOff>152400</xdr:rowOff>
                  </from>
                  <to>
                    <xdr:col>4</xdr:col>
                    <xdr:colOff>9525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0" r:id="rId90" name="PositionCheckBox75">
              <controlPr defaultSize="0" autoFill="0" autoLine="0" autoPict="0">
                <anchor moveWithCells="1">
                  <from>
                    <xdr:col>2</xdr:col>
                    <xdr:colOff>600075</xdr:colOff>
                    <xdr:row>77</xdr:row>
                    <xdr:rowOff>152400</xdr:rowOff>
                  </from>
                  <to>
                    <xdr:col>4</xdr:col>
                    <xdr:colOff>9525</xdr:colOff>
                    <xdr:row>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1" r:id="rId91" name="PositionCheckBox76">
              <controlPr defaultSize="0" autoFill="0" autoLine="0" autoPict="0">
                <anchor moveWithCells="1">
                  <from>
                    <xdr:col>2</xdr:col>
                    <xdr:colOff>600075</xdr:colOff>
                    <xdr:row>78</xdr:row>
                    <xdr:rowOff>152400</xdr:rowOff>
                  </from>
                  <to>
                    <xdr:col>4</xdr:col>
                    <xdr:colOff>9525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2" r:id="rId92" name="PositionCheckBox77">
              <controlPr defaultSize="0" autoFill="0" autoLine="0" autoPict="0">
                <anchor moveWithCells="1">
                  <from>
                    <xdr:col>2</xdr:col>
                    <xdr:colOff>600075</xdr:colOff>
                    <xdr:row>79</xdr:row>
                    <xdr:rowOff>142875</xdr:rowOff>
                  </from>
                  <to>
                    <xdr:col>4</xdr:col>
                    <xdr:colOff>9525</xdr:colOff>
                    <xdr:row>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3" r:id="rId93" name="PositionCheckBox78">
              <controlPr defaultSize="0" autoFill="0" autoLine="0" autoPict="0">
                <anchor moveWithCells="1">
                  <from>
                    <xdr:col>2</xdr:col>
                    <xdr:colOff>600075</xdr:colOff>
                    <xdr:row>80</xdr:row>
                    <xdr:rowOff>152400</xdr:rowOff>
                  </from>
                  <to>
                    <xdr:col>4</xdr:col>
                    <xdr:colOff>9525</xdr:colOff>
                    <xdr:row>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4" r:id="rId94" name="PositionCheckBox79">
              <controlPr defaultSize="0" autoFill="0" autoLine="0" autoPict="0">
                <anchor moveWithCells="1">
                  <from>
                    <xdr:col>2</xdr:col>
                    <xdr:colOff>600075</xdr:colOff>
                    <xdr:row>81</xdr:row>
                    <xdr:rowOff>152400</xdr:rowOff>
                  </from>
                  <to>
                    <xdr:col>4</xdr:col>
                    <xdr:colOff>9525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5" r:id="rId95" name="PositionCheckBox80">
              <controlPr defaultSize="0" autoFill="0" autoLine="0" autoPict="0">
                <anchor moveWithCells="1">
                  <from>
                    <xdr:col>2</xdr:col>
                    <xdr:colOff>600075</xdr:colOff>
                    <xdr:row>82</xdr:row>
                    <xdr:rowOff>152400</xdr:rowOff>
                  </from>
                  <to>
                    <xdr:col>4</xdr:col>
                    <xdr:colOff>9525</xdr:colOff>
                    <xdr:row>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6" r:id="rId96" name="PositionCheckBox81">
              <controlPr defaultSize="0" autoFill="0" autoLine="0" autoPict="0">
                <anchor moveWithCells="1">
                  <from>
                    <xdr:col>2</xdr:col>
                    <xdr:colOff>600075</xdr:colOff>
                    <xdr:row>83</xdr:row>
                    <xdr:rowOff>142875</xdr:rowOff>
                  </from>
                  <to>
                    <xdr:col>4</xdr:col>
                    <xdr:colOff>9525</xdr:colOff>
                    <xdr:row>85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7" r:id="rId97" name="PositionCheckBox82">
              <controlPr defaultSize="0" autoFill="0" autoLine="0" autoPict="0">
                <anchor moveWithCells="1">
                  <from>
                    <xdr:col>2</xdr:col>
                    <xdr:colOff>600075</xdr:colOff>
                    <xdr:row>84</xdr:row>
                    <xdr:rowOff>152400</xdr:rowOff>
                  </from>
                  <to>
                    <xdr:col>4</xdr:col>
                    <xdr:colOff>9525</xdr:colOff>
                    <xdr:row>86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04"/>
  <sheetViews>
    <sheetView workbookViewId="0">
      <selection activeCell="G38" sqref="B34:G38"/>
    </sheetView>
  </sheetViews>
  <sheetFormatPr defaultRowHeight="14.25" x14ac:dyDescent="0.45"/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45">
      <c r="A2" t="s">
        <v>10</v>
      </c>
      <c r="B2" t="s">
        <v>11</v>
      </c>
      <c r="C2" t="s">
        <v>12</v>
      </c>
      <c r="D2" t="s">
        <v>13</v>
      </c>
      <c r="E2">
        <v>33</v>
      </c>
      <c r="F2" t="s">
        <v>14</v>
      </c>
      <c r="G2" t="s">
        <v>15</v>
      </c>
      <c r="H2">
        <v>4.6999998092699995</v>
      </c>
      <c r="I2" t="s">
        <v>16</v>
      </c>
      <c r="J2" t="s">
        <v>17</v>
      </c>
    </row>
    <row r="3" spans="1:10" x14ac:dyDescent="0.45">
      <c r="A3" t="s">
        <v>18</v>
      </c>
      <c r="B3" t="s">
        <v>11</v>
      </c>
      <c r="C3" t="s">
        <v>12</v>
      </c>
      <c r="D3" t="s">
        <v>13</v>
      </c>
      <c r="E3">
        <v>44</v>
      </c>
      <c r="F3" t="s">
        <v>14</v>
      </c>
      <c r="G3" t="s">
        <v>15</v>
      </c>
      <c r="H3">
        <v>5.5500001907300005</v>
      </c>
      <c r="I3" t="s">
        <v>16</v>
      </c>
      <c r="J3" t="s">
        <v>19</v>
      </c>
    </row>
    <row r="4" spans="1:10" x14ac:dyDescent="0.45">
      <c r="A4" t="s">
        <v>20</v>
      </c>
      <c r="B4" t="s">
        <v>11</v>
      </c>
      <c r="C4" t="s">
        <v>12</v>
      </c>
      <c r="D4" t="s">
        <v>13</v>
      </c>
      <c r="E4">
        <v>63</v>
      </c>
      <c r="F4" t="s">
        <v>21</v>
      </c>
      <c r="G4" t="s">
        <v>22</v>
      </c>
      <c r="H4">
        <v>2.71000003815</v>
      </c>
      <c r="I4" t="s">
        <v>16</v>
      </c>
      <c r="J4" t="s">
        <v>23</v>
      </c>
    </row>
    <row r="5" spans="1:10" x14ac:dyDescent="0.45">
      <c r="A5" t="s">
        <v>24</v>
      </c>
      <c r="B5" t="s">
        <v>11</v>
      </c>
      <c r="C5" t="s">
        <v>12</v>
      </c>
      <c r="D5" t="s">
        <v>13</v>
      </c>
      <c r="E5">
        <v>76</v>
      </c>
      <c r="F5" t="s">
        <v>21</v>
      </c>
      <c r="G5" t="s">
        <v>22</v>
      </c>
      <c r="H5">
        <v>3.3407900333399998</v>
      </c>
      <c r="I5" t="s">
        <v>16</v>
      </c>
      <c r="J5" t="s">
        <v>25</v>
      </c>
    </row>
    <row r="6" spans="1:10" x14ac:dyDescent="0.45">
      <c r="A6" t="s">
        <v>26</v>
      </c>
      <c r="B6" t="s">
        <v>11</v>
      </c>
      <c r="C6" t="s">
        <v>12</v>
      </c>
      <c r="D6" t="s">
        <v>13</v>
      </c>
      <c r="E6">
        <v>20</v>
      </c>
      <c r="F6" t="s">
        <v>27</v>
      </c>
      <c r="G6" t="s">
        <v>28</v>
      </c>
      <c r="H6">
        <v>13.0600004196</v>
      </c>
      <c r="I6" t="s">
        <v>16</v>
      </c>
      <c r="J6" t="s">
        <v>29</v>
      </c>
    </row>
    <row r="7" spans="1:10" x14ac:dyDescent="0.45">
      <c r="A7" t="s">
        <v>30</v>
      </c>
      <c r="B7" t="s">
        <v>11</v>
      </c>
      <c r="C7" t="s">
        <v>12</v>
      </c>
      <c r="D7" t="s">
        <v>13</v>
      </c>
      <c r="E7">
        <v>54</v>
      </c>
      <c r="F7" t="s">
        <v>21</v>
      </c>
      <c r="G7" t="s">
        <v>22</v>
      </c>
      <c r="H7">
        <v>5.94074010849</v>
      </c>
      <c r="I7" t="s">
        <v>16</v>
      </c>
      <c r="J7" t="s">
        <v>31</v>
      </c>
    </row>
    <row r="8" spans="1:10" x14ac:dyDescent="0.45">
      <c r="A8" t="s">
        <v>32</v>
      </c>
      <c r="B8" t="s">
        <v>11</v>
      </c>
      <c r="C8" t="s">
        <v>12</v>
      </c>
      <c r="D8" t="s">
        <v>13</v>
      </c>
      <c r="E8">
        <v>6</v>
      </c>
      <c r="F8" t="s">
        <v>33</v>
      </c>
      <c r="G8" t="s">
        <v>34</v>
      </c>
      <c r="H8">
        <v>42.4667015076</v>
      </c>
      <c r="I8" t="s">
        <v>16</v>
      </c>
      <c r="J8" t="s">
        <v>35</v>
      </c>
    </row>
    <row r="9" spans="1:10" x14ac:dyDescent="0.45">
      <c r="A9" t="s">
        <v>36</v>
      </c>
      <c r="B9" t="s">
        <v>11</v>
      </c>
      <c r="C9" t="s">
        <v>12</v>
      </c>
      <c r="D9" t="s">
        <v>13</v>
      </c>
      <c r="E9">
        <v>40</v>
      </c>
      <c r="F9" t="s">
        <v>37</v>
      </c>
      <c r="G9" t="s">
        <v>38</v>
      </c>
      <c r="H9">
        <v>10.566649913799999</v>
      </c>
      <c r="I9" t="s">
        <v>16</v>
      </c>
      <c r="J9" t="s">
        <v>39</v>
      </c>
    </row>
    <row r="10" spans="1:10" x14ac:dyDescent="0.45">
      <c r="A10" t="s">
        <v>40</v>
      </c>
      <c r="B10" t="s">
        <v>11</v>
      </c>
      <c r="C10" t="s">
        <v>12</v>
      </c>
      <c r="D10" t="s">
        <v>13</v>
      </c>
      <c r="E10">
        <v>111</v>
      </c>
      <c r="F10" t="s">
        <v>14</v>
      </c>
      <c r="G10" t="s">
        <v>15</v>
      </c>
      <c r="H10">
        <v>2.7247700691199999</v>
      </c>
      <c r="I10" t="s">
        <v>16</v>
      </c>
      <c r="J10" t="s">
        <v>41</v>
      </c>
    </row>
    <row r="11" spans="1:10" x14ac:dyDescent="0.45">
      <c r="A11" t="s">
        <v>42</v>
      </c>
      <c r="B11" t="s">
        <v>11</v>
      </c>
      <c r="C11" t="s">
        <v>12</v>
      </c>
      <c r="D11" t="s">
        <v>13</v>
      </c>
      <c r="E11">
        <v>24</v>
      </c>
      <c r="F11" t="s">
        <v>43</v>
      </c>
      <c r="G11" t="s">
        <v>44</v>
      </c>
      <c r="H11">
        <v>8.3500003814700001</v>
      </c>
      <c r="I11" t="s">
        <v>16</v>
      </c>
      <c r="J11" t="s">
        <v>45</v>
      </c>
    </row>
    <row r="12" spans="1:10" x14ac:dyDescent="0.45">
      <c r="A12" t="s">
        <v>46</v>
      </c>
      <c r="B12" t="s">
        <v>11</v>
      </c>
      <c r="C12" t="s">
        <v>12</v>
      </c>
      <c r="D12" t="s">
        <v>13</v>
      </c>
      <c r="E12">
        <v>184</v>
      </c>
      <c r="F12" t="s">
        <v>21</v>
      </c>
      <c r="G12" t="s">
        <v>22</v>
      </c>
      <c r="H12">
        <v>1.1972800493200002</v>
      </c>
      <c r="I12" t="s">
        <v>16</v>
      </c>
      <c r="J12" t="s">
        <v>47</v>
      </c>
    </row>
    <row r="13" spans="1:10" x14ac:dyDescent="0.45">
      <c r="A13" t="s">
        <v>48</v>
      </c>
      <c r="B13" t="s">
        <v>11</v>
      </c>
      <c r="C13" t="s">
        <v>12</v>
      </c>
      <c r="D13" t="s">
        <v>13</v>
      </c>
      <c r="E13">
        <v>68</v>
      </c>
      <c r="F13" t="s">
        <v>27</v>
      </c>
      <c r="G13" t="s">
        <v>28</v>
      </c>
      <c r="H13">
        <v>3.9794099330900004</v>
      </c>
      <c r="I13" t="s">
        <v>16</v>
      </c>
      <c r="J13" t="s">
        <v>49</v>
      </c>
    </row>
    <row r="14" spans="1:10" x14ac:dyDescent="0.45">
      <c r="A14" t="s">
        <v>50</v>
      </c>
      <c r="B14" t="s">
        <v>51</v>
      </c>
      <c r="C14" t="s">
        <v>52</v>
      </c>
      <c r="D14" t="s">
        <v>53</v>
      </c>
      <c r="E14">
        <v>-7200</v>
      </c>
      <c r="F14" t="s">
        <v>54</v>
      </c>
      <c r="G14" t="s">
        <v>55</v>
      </c>
      <c r="H14">
        <v>56.317699432399998</v>
      </c>
      <c r="I14" t="s">
        <v>56</v>
      </c>
      <c r="J14" t="s">
        <v>55</v>
      </c>
    </row>
    <row r="15" spans="1:10" x14ac:dyDescent="0.45">
      <c r="A15" t="s">
        <v>57</v>
      </c>
      <c r="B15" t="s">
        <v>51</v>
      </c>
      <c r="C15" t="s">
        <v>52</v>
      </c>
      <c r="D15" t="s">
        <v>13</v>
      </c>
      <c r="E15">
        <v>90</v>
      </c>
      <c r="F15" t="s">
        <v>54</v>
      </c>
      <c r="G15" t="s">
        <v>55</v>
      </c>
      <c r="H15">
        <v>0.77333301305800006</v>
      </c>
      <c r="I15" t="s">
        <v>56</v>
      </c>
      <c r="J15" t="s">
        <v>58</v>
      </c>
    </row>
    <row r="16" spans="1:10" x14ac:dyDescent="0.45">
      <c r="A16" t="s">
        <v>59</v>
      </c>
      <c r="B16" t="s">
        <v>11</v>
      </c>
      <c r="C16" t="s">
        <v>12</v>
      </c>
      <c r="D16" t="s">
        <v>13</v>
      </c>
      <c r="E16">
        <v>83</v>
      </c>
      <c r="F16" t="s">
        <v>14</v>
      </c>
      <c r="G16" t="s">
        <v>15</v>
      </c>
      <c r="H16">
        <v>2.9807200431800003</v>
      </c>
      <c r="I16" t="s">
        <v>16</v>
      </c>
      <c r="J16" t="s">
        <v>60</v>
      </c>
    </row>
    <row r="17" spans="1:10" x14ac:dyDescent="0.45">
      <c r="A17" t="s">
        <v>61</v>
      </c>
      <c r="B17" t="s">
        <v>11</v>
      </c>
      <c r="C17" t="s">
        <v>12</v>
      </c>
      <c r="D17" t="s">
        <v>13</v>
      </c>
      <c r="E17">
        <v>69</v>
      </c>
      <c r="F17" t="s">
        <v>27</v>
      </c>
      <c r="G17" t="s">
        <v>28</v>
      </c>
      <c r="H17">
        <v>1.1813000440600001</v>
      </c>
      <c r="I17" t="s">
        <v>16</v>
      </c>
      <c r="J17" t="s">
        <v>62</v>
      </c>
    </row>
    <row r="18" spans="1:10" x14ac:dyDescent="0.45">
      <c r="A18" t="s">
        <v>63</v>
      </c>
      <c r="B18" t="s">
        <v>11</v>
      </c>
      <c r="C18" t="s">
        <v>12</v>
      </c>
      <c r="D18" t="s">
        <v>13</v>
      </c>
      <c r="E18">
        <v>62</v>
      </c>
      <c r="F18" t="s">
        <v>33</v>
      </c>
      <c r="G18" t="s">
        <v>34</v>
      </c>
      <c r="H18">
        <v>2.71000003815</v>
      </c>
      <c r="I18" t="s">
        <v>16</v>
      </c>
      <c r="J18" t="s">
        <v>64</v>
      </c>
    </row>
    <row r="19" spans="1:10" x14ac:dyDescent="0.45">
      <c r="A19" t="s">
        <v>65</v>
      </c>
      <c r="B19" t="s">
        <v>11</v>
      </c>
      <c r="C19" t="s">
        <v>12</v>
      </c>
      <c r="D19" t="s">
        <v>13</v>
      </c>
      <c r="E19">
        <v>68</v>
      </c>
      <c r="F19" t="s">
        <v>66</v>
      </c>
      <c r="G19" t="s">
        <v>67</v>
      </c>
      <c r="H19">
        <v>3</v>
      </c>
      <c r="I19" t="s">
        <v>16</v>
      </c>
      <c r="J19" t="s">
        <v>68</v>
      </c>
    </row>
    <row r="20" spans="1:10" x14ac:dyDescent="0.45">
      <c r="A20" t="s">
        <v>69</v>
      </c>
      <c r="B20" t="s">
        <v>11</v>
      </c>
      <c r="C20" t="s">
        <v>12</v>
      </c>
      <c r="D20" t="s">
        <v>13</v>
      </c>
      <c r="E20">
        <v>37</v>
      </c>
      <c r="F20" t="s">
        <v>21</v>
      </c>
      <c r="G20" t="s">
        <v>22</v>
      </c>
      <c r="H20">
        <v>3.2999999523199999</v>
      </c>
      <c r="I20" t="s">
        <v>16</v>
      </c>
      <c r="J20" t="s">
        <v>70</v>
      </c>
    </row>
    <row r="21" spans="1:10" x14ac:dyDescent="0.45">
      <c r="A21" t="s">
        <v>71</v>
      </c>
      <c r="B21" t="s">
        <v>11</v>
      </c>
      <c r="C21" t="s">
        <v>12</v>
      </c>
      <c r="D21" t="s">
        <v>13</v>
      </c>
      <c r="E21">
        <v>22</v>
      </c>
      <c r="F21" t="s">
        <v>21</v>
      </c>
      <c r="G21" t="s">
        <v>22</v>
      </c>
      <c r="H21">
        <v>6.1818199157700002</v>
      </c>
      <c r="I21" t="s">
        <v>16</v>
      </c>
      <c r="J21" t="s">
        <v>72</v>
      </c>
    </row>
    <row r="22" spans="1:10" x14ac:dyDescent="0.45">
      <c r="A22" t="s">
        <v>73</v>
      </c>
      <c r="B22" t="s">
        <v>11</v>
      </c>
      <c r="C22" t="s">
        <v>12</v>
      </c>
      <c r="D22" t="s">
        <v>13</v>
      </c>
      <c r="E22">
        <v>40</v>
      </c>
      <c r="F22" t="s">
        <v>21</v>
      </c>
      <c r="G22" t="s">
        <v>22</v>
      </c>
      <c r="H22">
        <v>5.9499998092699995</v>
      </c>
      <c r="I22" t="s">
        <v>16</v>
      </c>
      <c r="J22" t="s">
        <v>74</v>
      </c>
    </row>
    <row r="23" spans="1:10" x14ac:dyDescent="0.45">
      <c r="A23" t="s">
        <v>75</v>
      </c>
      <c r="B23" t="s">
        <v>11</v>
      </c>
      <c r="C23" t="s">
        <v>12</v>
      </c>
      <c r="D23" t="s">
        <v>13</v>
      </c>
      <c r="E23">
        <v>20</v>
      </c>
      <c r="F23" t="s">
        <v>14</v>
      </c>
      <c r="G23" t="s">
        <v>15</v>
      </c>
      <c r="H23">
        <v>10.300000190700001</v>
      </c>
      <c r="I23" t="s">
        <v>16</v>
      </c>
      <c r="J23" t="s">
        <v>76</v>
      </c>
    </row>
    <row r="24" spans="1:10" x14ac:dyDescent="0.45">
      <c r="A24" t="s">
        <v>77</v>
      </c>
      <c r="B24" t="s">
        <v>11</v>
      </c>
      <c r="C24" t="s">
        <v>12</v>
      </c>
      <c r="D24" t="s">
        <v>13</v>
      </c>
      <c r="E24">
        <v>63</v>
      </c>
      <c r="F24" t="s">
        <v>14</v>
      </c>
      <c r="G24" t="s">
        <v>15</v>
      </c>
      <c r="H24">
        <v>4.7948100566900003</v>
      </c>
      <c r="I24" t="s">
        <v>16</v>
      </c>
      <c r="J24" t="s">
        <v>78</v>
      </c>
    </row>
    <row r="25" spans="1:10" x14ac:dyDescent="0.45">
      <c r="A25" t="s">
        <v>79</v>
      </c>
      <c r="B25" t="s">
        <v>11</v>
      </c>
      <c r="C25" t="s">
        <v>12</v>
      </c>
      <c r="D25" t="s">
        <v>13</v>
      </c>
      <c r="E25">
        <v>35</v>
      </c>
      <c r="F25" t="s">
        <v>43</v>
      </c>
      <c r="G25" t="s">
        <v>44</v>
      </c>
      <c r="H25">
        <v>5.97856998444</v>
      </c>
      <c r="I25" t="s">
        <v>16</v>
      </c>
      <c r="J25" t="s">
        <v>80</v>
      </c>
    </row>
    <row r="26" spans="1:10" x14ac:dyDescent="0.45">
      <c r="A26" t="s">
        <v>81</v>
      </c>
      <c r="B26" t="s">
        <v>11</v>
      </c>
      <c r="C26" t="s">
        <v>12</v>
      </c>
      <c r="D26" t="s">
        <v>13</v>
      </c>
      <c r="E26">
        <v>20</v>
      </c>
      <c r="F26" t="s">
        <v>33</v>
      </c>
      <c r="G26" t="s">
        <v>34</v>
      </c>
      <c r="H26">
        <v>11</v>
      </c>
      <c r="I26" t="s">
        <v>16</v>
      </c>
      <c r="J26" t="s">
        <v>82</v>
      </c>
    </row>
    <row r="27" spans="1:10" x14ac:dyDescent="0.45">
      <c r="A27" t="s">
        <v>83</v>
      </c>
      <c r="B27" t="s">
        <v>11</v>
      </c>
      <c r="C27" t="s">
        <v>12</v>
      </c>
      <c r="D27" t="s">
        <v>13</v>
      </c>
      <c r="E27">
        <v>30</v>
      </c>
      <c r="F27" t="s">
        <v>37</v>
      </c>
      <c r="G27" t="s">
        <v>38</v>
      </c>
      <c r="H27">
        <v>4.5500001907300005</v>
      </c>
      <c r="I27" t="s">
        <v>16</v>
      </c>
      <c r="J27" t="s">
        <v>84</v>
      </c>
    </row>
    <row r="28" spans="1:10" x14ac:dyDescent="0.45">
      <c r="A28" t="s">
        <v>85</v>
      </c>
      <c r="B28" t="s">
        <v>11</v>
      </c>
      <c r="C28" t="s">
        <v>12</v>
      </c>
      <c r="D28" t="s">
        <v>13</v>
      </c>
      <c r="E28">
        <v>37</v>
      </c>
      <c r="F28" t="s">
        <v>33</v>
      </c>
      <c r="G28" t="s">
        <v>34</v>
      </c>
      <c r="H28">
        <v>5.5891900062599991</v>
      </c>
      <c r="I28" t="s">
        <v>16</v>
      </c>
      <c r="J28" t="s">
        <v>86</v>
      </c>
    </row>
    <row r="29" spans="1:10" x14ac:dyDescent="0.45">
      <c r="A29" t="s">
        <v>87</v>
      </c>
      <c r="B29" t="s">
        <v>11</v>
      </c>
      <c r="C29" t="s">
        <v>12</v>
      </c>
      <c r="D29" t="s">
        <v>13</v>
      </c>
      <c r="E29">
        <v>40</v>
      </c>
      <c r="F29" t="s">
        <v>14</v>
      </c>
      <c r="G29" t="s">
        <v>15</v>
      </c>
      <c r="H29">
        <v>5.875</v>
      </c>
      <c r="I29" t="s">
        <v>16</v>
      </c>
      <c r="J29" t="s">
        <v>88</v>
      </c>
    </row>
    <row r="30" spans="1:10" x14ac:dyDescent="0.45">
      <c r="A30" t="s">
        <v>89</v>
      </c>
      <c r="B30" t="s">
        <v>11</v>
      </c>
      <c r="C30" t="s">
        <v>12</v>
      </c>
      <c r="D30" t="s">
        <v>13</v>
      </c>
      <c r="E30">
        <v>10</v>
      </c>
      <c r="F30" t="s">
        <v>66</v>
      </c>
      <c r="G30" t="s">
        <v>67</v>
      </c>
      <c r="H30">
        <v>5.1999998092699995</v>
      </c>
      <c r="I30" t="s">
        <v>16</v>
      </c>
      <c r="J30" t="s">
        <v>90</v>
      </c>
    </row>
    <row r="31" spans="1:10" x14ac:dyDescent="0.45">
      <c r="A31" t="s">
        <v>91</v>
      </c>
      <c r="B31" t="s">
        <v>11</v>
      </c>
      <c r="C31" t="s">
        <v>12</v>
      </c>
      <c r="D31" t="s">
        <v>13</v>
      </c>
      <c r="E31">
        <v>50</v>
      </c>
      <c r="F31" t="s">
        <v>21</v>
      </c>
      <c r="G31" t="s">
        <v>22</v>
      </c>
      <c r="H31">
        <v>4.2000000476799997</v>
      </c>
      <c r="I31" t="s">
        <v>16</v>
      </c>
      <c r="J31" t="s">
        <v>92</v>
      </c>
    </row>
    <row r="32" spans="1:10" x14ac:dyDescent="0.45">
      <c r="A32" t="s">
        <v>93</v>
      </c>
      <c r="B32" t="s">
        <v>11</v>
      </c>
      <c r="C32" t="s">
        <v>12</v>
      </c>
      <c r="D32" t="s">
        <v>13</v>
      </c>
      <c r="E32">
        <v>16</v>
      </c>
      <c r="F32" t="s">
        <v>33</v>
      </c>
      <c r="G32" t="s">
        <v>34</v>
      </c>
      <c r="H32">
        <v>11.5</v>
      </c>
      <c r="I32" t="s">
        <v>16</v>
      </c>
      <c r="J32" t="s">
        <v>94</v>
      </c>
    </row>
    <row r="33" spans="1:10" x14ac:dyDescent="0.45">
      <c r="A33" t="s">
        <v>95</v>
      </c>
      <c r="B33" t="s">
        <v>11</v>
      </c>
      <c r="C33" t="s">
        <v>12</v>
      </c>
      <c r="D33" t="s">
        <v>13</v>
      </c>
      <c r="E33">
        <v>20</v>
      </c>
      <c r="F33" t="s">
        <v>14</v>
      </c>
      <c r="G33" t="s">
        <v>15</v>
      </c>
      <c r="H33">
        <v>9.3000001907300014</v>
      </c>
      <c r="I33" t="s">
        <v>16</v>
      </c>
      <c r="J33" t="s">
        <v>96</v>
      </c>
    </row>
    <row r="34" spans="1:10" x14ac:dyDescent="0.45">
      <c r="A34" t="s">
        <v>97</v>
      </c>
      <c r="B34" t="s">
        <v>11</v>
      </c>
      <c r="C34" t="s">
        <v>12</v>
      </c>
      <c r="D34" t="s">
        <v>13</v>
      </c>
      <c r="E34">
        <v>30</v>
      </c>
      <c r="F34" t="s">
        <v>14</v>
      </c>
      <c r="G34" t="s">
        <v>15</v>
      </c>
      <c r="H34">
        <v>7.1999998092699995</v>
      </c>
      <c r="I34" t="s">
        <v>16</v>
      </c>
      <c r="J34" t="s">
        <v>98</v>
      </c>
    </row>
    <row r="35" spans="1:10" x14ac:dyDescent="0.45">
      <c r="A35" t="s">
        <v>239</v>
      </c>
      <c r="B35" t="s">
        <v>51</v>
      </c>
      <c r="C35" t="s">
        <v>52</v>
      </c>
      <c r="D35" t="s">
        <v>13</v>
      </c>
      <c r="E35">
        <v>-500</v>
      </c>
      <c r="F35" t="s">
        <v>99</v>
      </c>
      <c r="G35" t="s">
        <v>100</v>
      </c>
      <c r="H35">
        <v>0.80199998617199997</v>
      </c>
      <c r="I35" t="s">
        <v>101</v>
      </c>
      <c r="J35" t="s">
        <v>240</v>
      </c>
    </row>
    <row r="36" spans="1:10" x14ac:dyDescent="0.45">
      <c r="A36" t="s">
        <v>102</v>
      </c>
      <c r="B36" t="s">
        <v>51</v>
      </c>
      <c r="C36" t="s">
        <v>52</v>
      </c>
      <c r="D36" t="s">
        <v>13</v>
      </c>
      <c r="E36">
        <v>-500</v>
      </c>
      <c r="F36" t="s">
        <v>99</v>
      </c>
      <c r="G36" t="s">
        <v>100</v>
      </c>
      <c r="H36">
        <v>1.03726005554</v>
      </c>
      <c r="I36" t="s">
        <v>101</v>
      </c>
      <c r="J36" t="s">
        <v>103</v>
      </c>
    </row>
    <row r="37" spans="1:10" x14ac:dyDescent="0.45">
      <c r="A37" t="s">
        <v>104</v>
      </c>
      <c r="B37" t="s">
        <v>11</v>
      </c>
      <c r="C37" t="s">
        <v>12</v>
      </c>
      <c r="D37" t="s">
        <v>13</v>
      </c>
      <c r="E37">
        <v>120</v>
      </c>
      <c r="F37" t="s">
        <v>43</v>
      </c>
      <c r="G37" t="s">
        <v>44</v>
      </c>
      <c r="H37">
        <v>1.57000005245</v>
      </c>
      <c r="I37" t="s">
        <v>16</v>
      </c>
      <c r="J37" t="s">
        <v>105</v>
      </c>
    </row>
    <row r="38" spans="1:10" x14ac:dyDescent="0.45">
      <c r="A38" t="s">
        <v>106</v>
      </c>
      <c r="B38" t="s">
        <v>11</v>
      </c>
      <c r="C38" t="s">
        <v>12</v>
      </c>
      <c r="D38" t="s">
        <v>53</v>
      </c>
      <c r="E38">
        <v>400</v>
      </c>
      <c r="F38" t="s">
        <v>21</v>
      </c>
      <c r="G38" t="s">
        <v>22</v>
      </c>
      <c r="H38">
        <v>25.739999771100003</v>
      </c>
      <c r="I38" t="s">
        <v>16</v>
      </c>
      <c r="J38" t="s">
        <v>107</v>
      </c>
    </row>
    <row r="39" spans="1:10" x14ac:dyDescent="0.45">
      <c r="A39" t="s">
        <v>108</v>
      </c>
      <c r="B39" t="s">
        <v>11</v>
      </c>
      <c r="C39" t="s">
        <v>12</v>
      </c>
      <c r="D39" t="s">
        <v>13</v>
      </c>
      <c r="E39">
        <v>86</v>
      </c>
      <c r="F39" t="s">
        <v>21</v>
      </c>
      <c r="G39" t="s">
        <v>22</v>
      </c>
      <c r="H39">
        <v>2.1099998951000001</v>
      </c>
      <c r="I39" t="s">
        <v>16</v>
      </c>
      <c r="J39" t="s">
        <v>109</v>
      </c>
    </row>
    <row r="40" spans="1:10" x14ac:dyDescent="0.45">
      <c r="A40" t="s">
        <v>110</v>
      </c>
      <c r="B40" t="s">
        <v>11</v>
      </c>
      <c r="C40" t="s">
        <v>12</v>
      </c>
      <c r="D40" t="s">
        <v>13</v>
      </c>
      <c r="E40">
        <v>2</v>
      </c>
      <c r="F40" t="s">
        <v>14</v>
      </c>
      <c r="G40" t="s">
        <v>15</v>
      </c>
      <c r="H40">
        <v>50.5</v>
      </c>
      <c r="I40" t="s">
        <v>16</v>
      </c>
      <c r="J40" t="s">
        <v>111</v>
      </c>
    </row>
    <row r="41" spans="1:10" x14ac:dyDescent="0.45">
      <c r="A41" t="s">
        <v>112</v>
      </c>
      <c r="B41" t="s">
        <v>11</v>
      </c>
      <c r="C41" t="s">
        <v>12</v>
      </c>
      <c r="D41" t="s">
        <v>13</v>
      </c>
      <c r="E41">
        <v>250</v>
      </c>
      <c r="F41" t="s">
        <v>21</v>
      </c>
      <c r="G41" t="s">
        <v>22</v>
      </c>
      <c r="H41">
        <v>0.94999998807899999</v>
      </c>
      <c r="I41" t="s">
        <v>16</v>
      </c>
      <c r="J41" t="s">
        <v>113</v>
      </c>
    </row>
    <row r="42" spans="1:10" x14ac:dyDescent="0.45">
      <c r="A42" t="s">
        <v>114</v>
      </c>
      <c r="B42" t="s">
        <v>11</v>
      </c>
      <c r="C42" t="s">
        <v>12</v>
      </c>
      <c r="D42" t="s">
        <v>13</v>
      </c>
      <c r="E42">
        <v>42</v>
      </c>
      <c r="F42" t="s">
        <v>33</v>
      </c>
      <c r="G42" t="s">
        <v>34</v>
      </c>
      <c r="H42">
        <v>7.3392901420600012</v>
      </c>
      <c r="I42" t="s">
        <v>16</v>
      </c>
      <c r="J42" t="s">
        <v>115</v>
      </c>
    </row>
    <row r="43" spans="1:10" x14ac:dyDescent="0.45">
      <c r="A43" t="s">
        <v>116</v>
      </c>
      <c r="B43" t="s">
        <v>11</v>
      </c>
      <c r="C43" t="s">
        <v>12</v>
      </c>
      <c r="D43" t="s">
        <v>13</v>
      </c>
      <c r="E43">
        <v>45</v>
      </c>
      <c r="F43" t="s">
        <v>21</v>
      </c>
      <c r="G43" t="s">
        <v>22</v>
      </c>
      <c r="H43">
        <v>3.2679999669400002</v>
      </c>
      <c r="I43" t="s">
        <v>16</v>
      </c>
      <c r="J43" t="s">
        <v>117</v>
      </c>
    </row>
    <row r="44" spans="1:10" x14ac:dyDescent="0.45">
      <c r="A44" t="s">
        <v>118</v>
      </c>
      <c r="B44" t="s">
        <v>11</v>
      </c>
      <c r="C44" t="s">
        <v>12</v>
      </c>
      <c r="D44" t="s">
        <v>13</v>
      </c>
      <c r="E44">
        <v>33</v>
      </c>
      <c r="F44" t="s">
        <v>14</v>
      </c>
      <c r="G44" t="s">
        <v>15</v>
      </c>
      <c r="H44">
        <v>4.4000000953699994</v>
      </c>
      <c r="I44" t="s">
        <v>16</v>
      </c>
      <c r="J44" t="s">
        <v>119</v>
      </c>
    </row>
    <row r="45" spans="1:10" x14ac:dyDescent="0.45">
      <c r="A45" t="s">
        <v>120</v>
      </c>
      <c r="B45" t="s">
        <v>11</v>
      </c>
      <c r="C45" t="s">
        <v>12</v>
      </c>
      <c r="D45" t="s">
        <v>13</v>
      </c>
      <c r="E45">
        <v>8</v>
      </c>
      <c r="F45" t="s">
        <v>27</v>
      </c>
      <c r="G45" t="s">
        <v>28</v>
      </c>
      <c r="H45">
        <v>33.900001525900002</v>
      </c>
      <c r="I45" t="s">
        <v>16</v>
      </c>
      <c r="J45" t="s">
        <v>121</v>
      </c>
    </row>
    <row r="46" spans="1:10" x14ac:dyDescent="0.45">
      <c r="A46" t="s">
        <v>122</v>
      </c>
      <c r="B46" t="s">
        <v>51</v>
      </c>
      <c r="C46" t="s">
        <v>52</v>
      </c>
      <c r="D46" t="s">
        <v>13</v>
      </c>
      <c r="E46">
        <v>150</v>
      </c>
      <c r="F46" t="s">
        <v>99</v>
      </c>
      <c r="G46" t="s">
        <v>100</v>
      </c>
      <c r="H46">
        <v>1.96000003815</v>
      </c>
      <c r="I46" t="s">
        <v>101</v>
      </c>
      <c r="J46" t="s">
        <v>123</v>
      </c>
    </row>
    <row r="47" spans="1:10" x14ac:dyDescent="0.45">
      <c r="A47" t="s">
        <v>275</v>
      </c>
      <c r="B47" t="s">
        <v>51</v>
      </c>
      <c r="C47" t="s">
        <v>52</v>
      </c>
      <c r="D47" t="s">
        <v>13</v>
      </c>
      <c r="E47">
        <v>150</v>
      </c>
      <c r="F47" t="s">
        <v>99</v>
      </c>
      <c r="G47" t="s">
        <v>100</v>
      </c>
      <c r="H47">
        <v>1.8300000429199998</v>
      </c>
      <c r="I47" t="s">
        <v>101</v>
      </c>
      <c r="J47" t="s">
        <v>276</v>
      </c>
    </row>
    <row r="48" spans="1:10" x14ac:dyDescent="0.45">
      <c r="A48" t="s">
        <v>124</v>
      </c>
      <c r="B48" t="s">
        <v>11</v>
      </c>
      <c r="C48" t="s">
        <v>12</v>
      </c>
      <c r="D48" t="s">
        <v>13</v>
      </c>
      <c r="E48">
        <v>91</v>
      </c>
      <c r="F48" t="s">
        <v>66</v>
      </c>
      <c r="G48" t="s">
        <v>67</v>
      </c>
      <c r="H48">
        <v>2.0442900657700003</v>
      </c>
      <c r="I48" t="s">
        <v>16</v>
      </c>
      <c r="J48" t="s">
        <v>125</v>
      </c>
    </row>
    <row r="49" spans="1:10" x14ac:dyDescent="0.45">
      <c r="A49" t="s">
        <v>248</v>
      </c>
      <c r="B49" t="s">
        <v>11</v>
      </c>
      <c r="C49" t="s">
        <v>12</v>
      </c>
      <c r="D49" t="s">
        <v>53</v>
      </c>
      <c r="E49">
        <v>1000</v>
      </c>
      <c r="F49" t="s">
        <v>43</v>
      </c>
      <c r="G49" t="s">
        <v>44</v>
      </c>
      <c r="H49">
        <v>82.025001525899995</v>
      </c>
      <c r="I49" t="s">
        <v>16</v>
      </c>
      <c r="J49" t="s">
        <v>249</v>
      </c>
    </row>
    <row r="50" spans="1:10" x14ac:dyDescent="0.45">
      <c r="A50" t="s">
        <v>126</v>
      </c>
      <c r="B50" t="s">
        <v>11</v>
      </c>
      <c r="C50" t="s">
        <v>12</v>
      </c>
      <c r="D50" t="s">
        <v>13</v>
      </c>
      <c r="E50">
        <v>29</v>
      </c>
      <c r="F50" t="s">
        <v>33</v>
      </c>
      <c r="G50" t="s">
        <v>34</v>
      </c>
      <c r="H50">
        <v>7.3000001907300005</v>
      </c>
      <c r="I50" t="s">
        <v>16</v>
      </c>
      <c r="J50" t="s">
        <v>127</v>
      </c>
    </row>
    <row r="51" spans="1:10" x14ac:dyDescent="0.45">
      <c r="A51" t="s">
        <v>128</v>
      </c>
      <c r="B51" t="s">
        <v>11</v>
      </c>
      <c r="C51" t="s">
        <v>12</v>
      </c>
      <c r="D51" t="s">
        <v>13</v>
      </c>
      <c r="E51">
        <v>44</v>
      </c>
      <c r="F51" t="s">
        <v>33</v>
      </c>
      <c r="G51" t="s">
        <v>34</v>
      </c>
      <c r="H51">
        <v>4.63523006439</v>
      </c>
      <c r="I51" t="s">
        <v>16</v>
      </c>
      <c r="J51" t="s">
        <v>129</v>
      </c>
    </row>
    <row r="52" spans="1:10" x14ac:dyDescent="0.45">
      <c r="A52" t="s">
        <v>130</v>
      </c>
      <c r="B52" t="s">
        <v>11</v>
      </c>
      <c r="C52" t="s">
        <v>12</v>
      </c>
      <c r="D52" t="s">
        <v>13</v>
      </c>
      <c r="E52">
        <v>34</v>
      </c>
      <c r="F52" t="s">
        <v>14</v>
      </c>
      <c r="G52" t="s">
        <v>15</v>
      </c>
      <c r="H52">
        <v>5.5500001907300005</v>
      </c>
      <c r="I52" t="s">
        <v>16</v>
      </c>
      <c r="J52" t="s">
        <v>131</v>
      </c>
    </row>
    <row r="53" spans="1:10" x14ac:dyDescent="0.45">
      <c r="A53" t="s">
        <v>132</v>
      </c>
      <c r="B53" t="s">
        <v>11</v>
      </c>
      <c r="C53" t="s">
        <v>12</v>
      </c>
      <c r="D53" t="s">
        <v>13</v>
      </c>
      <c r="E53">
        <v>44</v>
      </c>
      <c r="F53" t="s">
        <v>43</v>
      </c>
      <c r="G53" t="s">
        <v>44</v>
      </c>
      <c r="H53">
        <v>3.5999999046300006</v>
      </c>
      <c r="I53" t="s">
        <v>16</v>
      </c>
      <c r="J53" t="s">
        <v>133</v>
      </c>
    </row>
    <row r="54" spans="1:10" x14ac:dyDescent="0.45">
      <c r="A54" t="s">
        <v>134</v>
      </c>
      <c r="B54" t="s">
        <v>11</v>
      </c>
      <c r="C54" t="s">
        <v>12</v>
      </c>
      <c r="D54" t="s">
        <v>13</v>
      </c>
      <c r="E54">
        <v>30</v>
      </c>
      <c r="F54" t="s">
        <v>66</v>
      </c>
      <c r="G54" t="s">
        <v>67</v>
      </c>
      <c r="H54">
        <v>12</v>
      </c>
      <c r="I54" t="s">
        <v>16</v>
      </c>
      <c r="J54" t="s">
        <v>135</v>
      </c>
    </row>
    <row r="55" spans="1:10" x14ac:dyDescent="0.45">
      <c r="A55" t="s">
        <v>136</v>
      </c>
      <c r="B55" t="s">
        <v>11</v>
      </c>
      <c r="C55" t="s">
        <v>12</v>
      </c>
      <c r="D55" t="s">
        <v>13</v>
      </c>
      <c r="E55">
        <v>50</v>
      </c>
      <c r="F55" t="s">
        <v>66</v>
      </c>
      <c r="G55" t="s">
        <v>67</v>
      </c>
      <c r="H55">
        <v>4</v>
      </c>
      <c r="I55" t="s">
        <v>16</v>
      </c>
      <c r="J55" t="s">
        <v>137</v>
      </c>
    </row>
    <row r="56" spans="1:10" x14ac:dyDescent="0.45">
      <c r="A56" t="s">
        <v>138</v>
      </c>
      <c r="B56" t="s">
        <v>11</v>
      </c>
      <c r="C56" t="s">
        <v>12</v>
      </c>
      <c r="D56" t="s">
        <v>13</v>
      </c>
      <c r="E56">
        <v>82</v>
      </c>
      <c r="F56" t="s">
        <v>21</v>
      </c>
      <c r="G56" t="s">
        <v>22</v>
      </c>
      <c r="H56">
        <v>2.5279150009200002</v>
      </c>
      <c r="I56" t="s">
        <v>16</v>
      </c>
      <c r="J56" t="s">
        <v>139</v>
      </c>
    </row>
    <row r="57" spans="1:10" x14ac:dyDescent="0.45">
      <c r="A57" t="s">
        <v>140</v>
      </c>
      <c r="B57" t="s">
        <v>11</v>
      </c>
      <c r="C57" t="s">
        <v>12</v>
      </c>
      <c r="D57" t="s">
        <v>13</v>
      </c>
      <c r="E57">
        <v>117</v>
      </c>
      <c r="F57" t="s">
        <v>141</v>
      </c>
      <c r="G57" t="s">
        <v>142</v>
      </c>
      <c r="H57">
        <v>1.2999999523200001</v>
      </c>
      <c r="I57" t="s">
        <v>16</v>
      </c>
      <c r="J57" t="s">
        <v>143</v>
      </c>
    </row>
    <row r="58" spans="1:10" x14ac:dyDescent="0.45">
      <c r="A58" t="s">
        <v>250</v>
      </c>
      <c r="B58" t="s">
        <v>11</v>
      </c>
      <c r="C58" t="s">
        <v>12</v>
      </c>
      <c r="E58">
        <v>23</v>
      </c>
      <c r="F58" t="s">
        <v>33</v>
      </c>
      <c r="G58" t="s">
        <v>34</v>
      </c>
      <c r="H58">
        <v>8.4565200805699998</v>
      </c>
      <c r="I58" t="s">
        <v>16</v>
      </c>
      <c r="J58" t="s">
        <v>251</v>
      </c>
    </row>
    <row r="59" spans="1:10" x14ac:dyDescent="0.45">
      <c r="A59" t="s">
        <v>144</v>
      </c>
      <c r="B59" t="s">
        <v>11</v>
      </c>
      <c r="C59" t="s">
        <v>12</v>
      </c>
      <c r="D59" t="s">
        <v>13</v>
      </c>
      <c r="E59">
        <v>71</v>
      </c>
      <c r="F59" t="s">
        <v>14</v>
      </c>
      <c r="G59" t="s">
        <v>15</v>
      </c>
      <c r="H59">
        <v>2.3539350032799997</v>
      </c>
      <c r="I59" t="s">
        <v>16</v>
      </c>
      <c r="J59" t="s">
        <v>145</v>
      </c>
    </row>
    <row r="60" spans="1:10" x14ac:dyDescent="0.45">
      <c r="A60" t="s">
        <v>146</v>
      </c>
      <c r="B60" t="s">
        <v>11</v>
      </c>
      <c r="C60" t="s">
        <v>12</v>
      </c>
      <c r="D60" t="s">
        <v>13</v>
      </c>
      <c r="E60">
        <v>64</v>
      </c>
      <c r="F60" t="s">
        <v>14</v>
      </c>
      <c r="G60" t="s">
        <v>15</v>
      </c>
      <c r="H60">
        <v>2.9835898876200004</v>
      </c>
      <c r="I60" t="s">
        <v>16</v>
      </c>
      <c r="J60" t="s">
        <v>147</v>
      </c>
    </row>
    <row r="61" spans="1:10" x14ac:dyDescent="0.45">
      <c r="A61" t="s">
        <v>148</v>
      </c>
      <c r="B61" t="s">
        <v>11</v>
      </c>
      <c r="C61" t="s">
        <v>12</v>
      </c>
      <c r="D61" t="s">
        <v>13</v>
      </c>
      <c r="E61">
        <v>55</v>
      </c>
      <c r="F61" t="s">
        <v>21</v>
      </c>
      <c r="G61" t="s">
        <v>22</v>
      </c>
      <c r="H61">
        <v>2.0454499721500001</v>
      </c>
      <c r="I61" t="s">
        <v>16</v>
      </c>
      <c r="J61" t="s">
        <v>149</v>
      </c>
    </row>
    <row r="62" spans="1:10" x14ac:dyDescent="0.45">
      <c r="A62" t="s">
        <v>150</v>
      </c>
      <c r="B62" t="s">
        <v>11</v>
      </c>
      <c r="C62" t="s">
        <v>12</v>
      </c>
      <c r="D62" t="s">
        <v>53</v>
      </c>
      <c r="E62">
        <v>100</v>
      </c>
      <c r="F62" t="s">
        <v>33</v>
      </c>
      <c r="G62" t="s">
        <v>34</v>
      </c>
      <c r="H62">
        <v>1241.5</v>
      </c>
      <c r="I62" t="s">
        <v>16</v>
      </c>
      <c r="J62" t="s">
        <v>151</v>
      </c>
    </row>
    <row r="63" spans="1:10" x14ac:dyDescent="0.45">
      <c r="A63" t="s">
        <v>152</v>
      </c>
      <c r="B63" t="s">
        <v>11</v>
      </c>
      <c r="C63" t="s">
        <v>12</v>
      </c>
      <c r="D63" t="s">
        <v>13</v>
      </c>
      <c r="E63">
        <v>3</v>
      </c>
      <c r="F63" t="s">
        <v>33</v>
      </c>
      <c r="G63" t="s">
        <v>34</v>
      </c>
      <c r="H63">
        <v>96.533302307099987</v>
      </c>
      <c r="I63" t="s">
        <v>16</v>
      </c>
      <c r="J63" t="s">
        <v>153</v>
      </c>
    </row>
    <row r="64" spans="1:10" x14ac:dyDescent="0.45">
      <c r="A64" t="s">
        <v>154</v>
      </c>
      <c r="B64" t="s">
        <v>11</v>
      </c>
      <c r="C64" t="s">
        <v>12</v>
      </c>
      <c r="D64" t="s">
        <v>13</v>
      </c>
      <c r="E64">
        <v>15</v>
      </c>
      <c r="F64" t="s">
        <v>155</v>
      </c>
      <c r="G64" t="s">
        <v>156</v>
      </c>
      <c r="H64">
        <v>15.5</v>
      </c>
      <c r="I64" t="s">
        <v>16</v>
      </c>
      <c r="J64" t="s">
        <v>157</v>
      </c>
    </row>
    <row r="65" spans="1:10" x14ac:dyDescent="0.45">
      <c r="A65" t="s">
        <v>158</v>
      </c>
      <c r="B65" t="s">
        <v>11</v>
      </c>
      <c r="C65" t="s">
        <v>12</v>
      </c>
      <c r="D65" t="s">
        <v>13</v>
      </c>
      <c r="E65">
        <v>31</v>
      </c>
      <c r="F65" t="s">
        <v>33</v>
      </c>
      <c r="G65" t="s">
        <v>34</v>
      </c>
      <c r="H65">
        <v>7.9345002174399992</v>
      </c>
      <c r="I65" t="s">
        <v>16</v>
      </c>
      <c r="J65" t="s">
        <v>159</v>
      </c>
    </row>
    <row r="66" spans="1:10" x14ac:dyDescent="0.45">
      <c r="A66" t="s">
        <v>160</v>
      </c>
      <c r="B66" t="s">
        <v>11</v>
      </c>
      <c r="C66" t="s">
        <v>12</v>
      </c>
      <c r="D66" t="s">
        <v>13</v>
      </c>
      <c r="E66">
        <v>4</v>
      </c>
      <c r="F66" t="s">
        <v>27</v>
      </c>
      <c r="G66" t="s">
        <v>28</v>
      </c>
      <c r="H66">
        <v>76.375</v>
      </c>
      <c r="I66" t="s">
        <v>16</v>
      </c>
      <c r="J66" t="s">
        <v>161</v>
      </c>
    </row>
    <row r="67" spans="1:10" x14ac:dyDescent="0.45">
      <c r="A67" t="s">
        <v>162</v>
      </c>
      <c r="B67" t="s">
        <v>11</v>
      </c>
      <c r="C67" t="s">
        <v>12</v>
      </c>
      <c r="D67" t="s">
        <v>13</v>
      </c>
      <c r="E67">
        <v>30</v>
      </c>
      <c r="F67" t="s">
        <v>14</v>
      </c>
      <c r="G67" t="s">
        <v>15</v>
      </c>
      <c r="H67">
        <v>6.9499998092699995</v>
      </c>
      <c r="I67" t="s">
        <v>16</v>
      </c>
      <c r="J67" t="s">
        <v>163</v>
      </c>
    </row>
    <row r="68" spans="1:10" x14ac:dyDescent="0.45">
      <c r="A68" t="s">
        <v>252</v>
      </c>
      <c r="B68" t="s">
        <v>51</v>
      </c>
      <c r="C68" t="s">
        <v>52</v>
      </c>
      <c r="D68" t="s">
        <v>53</v>
      </c>
      <c r="E68">
        <v>1000</v>
      </c>
      <c r="F68" t="s">
        <v>164</v>
      </c>
      <c r="G68" t="s">
        <v>165</v>
      </c>
      <c r="H68">
        <v>15.449899673499999</v>
      </c>
      <c r="I68" t="s">
        <v>101</v>
      </c>
      <c r="J68" t="s">
        <v>253</v>
      </c>
    </row>
    <row r="69" spans="1:10" x14ac:dyDescent="0.45">
      <c r="A69" t="s">
        <v>166</v>
      </c>
      <c r="B69" t="s">
        <v>51</v>
      </c>
      <c r="C69" t="s">
        <v>52</v>
      </c>
      <c r="D69" t="s">
        <v>13</v>
      </c>
      <c r="E69">
        <v>75</v>
      </c>
      <c r="F69" t="s">
        <v>164</v>
      </c>
      <c r="G69" t="s">
        <v>165</v>
      </c>
      <c r="H69">
        <v>0.62000000476799999</v>
      </c>
      <c r="I69" t="s">
        <v>101</v>
      </c>
      <c r="J69" t="s">
        <v>167</v>
      </c>
    </row>
    <row r="70" spans="1:10" x14ac:dyDescent="0.45">
      <c r="A70" t="s">
        <v>254</v>
      </c>
      <c r="B70" t="s">
        <v>51</v>
      </c>
      <c r="C70" t="s">
        <v>52</v>
      </c>
      <c r="D70" t="s">
        <v>13</v>
      </c>
      <c r="E70">
        <v>225</v>
      </c>
      <c r="F70" t="s">
        <v>164</v>
      </c>
      <c r="G70" t="s">
        <v>165</v>
      </c>
      <c r="H70">
        <v>0.81124401092499998</v>
      </c>
      <c r="I70" t="s">
        <v>101</v>
      </c>
      <c r="J70" t="s">
        <v>255</v>
      </c>
    </row>
    <row r="71" spans="1:10" x14ac:dyDescent="0.45">
      <c r="A71" t="s">
        <v>256</v>
      </c>
      <c r="B71" t="s">
        <v>51</v>
      </c>
      <c r="C71" t="s">
        <v>52</v>
      </c>
      <c r="D71" t="s">
        <v>13</v>
      </c>
      <c r="E71">
        <v>225</v>
      </c>
      <c r="F71" t="s">
        <v>164</v>
      </c>
      <c r="G71" t="s">
        <v>165</v>
      </c>
      <c r="H71">
        <v>1.1085900068300001</v>
      </c>
      <c r="I71" t="s">
        <v>101</v>
      </c>
      <c r="J71" t="s">
        <v>257</v>
      </c>
    </row>
    <row r="72" spans="1:10" x14ac:dyDescent="0.45">
      <c r="A72" t="s">
        <v>168</v>
      </c>
      <c r="B72" t="s">
        <v>11</v>
      </c>
      <c r="C72" t="s">
        <v>12</v>
      </c>
      <c r="D72" t="s">
        <v>13</v>
      </c>
      <c r="E72">
        <v>76</v>
      </c>
      <c r="F72" t="s">
        <v>33</v>
      </c>
      <c r="G72" t="s">
        <v>34</v>
      </c>
      <c r="H72">
        <v>3.81868004799</v>
      </c>
      <c r="I72" t="s">
        <v>16</v>
      </c>
      <c r="J72" t="s">
        <v>169</v>
      </c>
    </row>
    <row r="73" spans="1:10" x14ac:dyDescent="0.45">
      <c r="A73" t="s">
        <v>170</v>
      </c>
      <c r="B73" t="s">
        <v>11</v>
      </c>
      <c r="C73" t="s">
        <v>12</v>
      </c>
      <c r="D73" t="s">
        <v>13</v>
      </c>
      <c r="E73">
        <v>23</v>
      </c>
      <c r="F73" t="s">
        <v>21</v>
      </c>
      <c r="G73" t="s">
        <v>22</v>
      </c>
      <c r="H73">
        <v>10.6174001694</v>
      </c>
      <c r="I73" t="s">
        <v>16</v>
      </c>
      <c r="J73" t="s">
        <v>171</v>
      </c>
    </row>
    <row r="74" spans="1:10" x14ac:dyDescent="0.45">
      <c r="A74" t="s">
        <v>258</v>
      </c>
      <c r="B74" t="s">
        <v>11</v>
      </c>
      <c r="C74" t="s">
        <v>12</v>
      </c>
      <c r="D74" t="s">
        <v>13</v>
      </c>
      <c r="E74">
        <v>78</v>
      </c>
      <c r="F74" t="s">
        <v>172</v>
      </c>
      <c r="G74" t="s">
        <v>173</v>
      </c>
      <c r="H74">
        <v>54.246033350600001</v>
      </c>
      <c r="I74" t="s">
        <v>174</v>
      </c>
      <c r="J74" t="s">
        <v>259</v>
      </c>
    </row>
    <row r="75" spans="1:10" x14ac:dyDescent="0.45">
      <c r="A75" t="s">
        <v>175</v>
      </c>
      <c r="B75" t="s">
        <v>11</v>
      </c>
      <c r="C75" t="s">
        <v>12</v>
      </c>
      <c r="D75" t="s">
        <v>13</v>
      </c>
      <c r="E75">
        <v>50</v>
      </c>
      <c r="F75" t="s">
        <v>176</v>
      </c>
      <c r="G75" t="s">
        <v>177</v>
      </c>
      <c r="H75">
        <v>87.802501678500008</v>
      </c>
      <c r="I75" t="s">
        <v>174</v>
      </c>
      <c r="J75" t="s">
        <v>178</v>
      </c>
    </row>
    <row r="76" spans="1:10" x14ac:dyDescent="0.45">
      <c r="A76" t="s">
        <v>179</v>
      </c>
      <c r="B76" t="s">
        <v>11</v>
      </c>
      <c r="C76" t="s">
        <v>12</v>
      </c>
      <c r="D76" t="s">
        <v>13</v>
      </c>
      <c r="E76">
        <v>18</v>
      </c>
      <c r="F76" t="s">
        <v>14</v>
      </c>
      <c r="G76" t="s">
        <v>15</v>
      </c>
      <c r="H76">
        <v>11.25</v>
      </c>
      <c r="I76" t="s">
        <v>16</v>
      </c>
      <c r="J76" t="s">
        <v>180</v>
      </c>
    </row>
    <row r="77" spans="1:10" x14ac:dyDescent="0.45">
      <c r="A77" t="s">
        <v>181</v>
      </c>
      <c r="B77" t="s">
        <v>11</v>
      </c>
      <c r="C77" t="s">
        <v>12</v>
      </c>
      <c r="D77" t="s">
        <v>13</v>
      </c>
      <c r="E77">
        <v>40</v>
      </c>
      <c r="F77" t="s">
        <v>43</v>
      </c>
      <c r="G77" t="s">
        <v>44</v>
      </c>
      <c r="H77">
        <v>6.3625001907300005</v>
      </c>
      <c r="I77" t="s">
        <v>16</v>
      </c>
      <c r="J77" t="s">
        <v>182</v>
      </c>
    </row>
    <row r="78" spans="1:10" x14ac:dyDescent="0.45">
      <c r="A78" t="s">
        <v>260</v>
      </c>
      <c r="B78" t="s">
        <v>11</v>
      </c>
      <c r="C78" t="s">
        <v>12</v>
      </c>
      <c r="D78" t="s">
        <v>53</v>
      </c>
      <c r="E78">
        <v>1000</v>
      </c>
      <c r="F78" t="s">
        <v>33</v>
      </c>
      <c r="G78" t="s">
        <v>34</v>
      </c>
      <c r="H78">
        <v>72.194000244099996</v>
      </c>
      <c r="I78" t="s">
        <v>16</v>
      </c>
      <c r="J78" t="s">
        <v>261</v>
      </c>
    </row>
    <row r="79" spans="1:10" x14ac:dyDescent="0.45">
      <c r="A79" t="s">
        <v>183</v>
      </c>
      <c r="B79" t="s">
        <v>11</v>
      </c>
      <c r="C79" t="s">
        <v>12</v>
      </c>
      <c r="D79" t="s">
        <v>13</v>
      </c>
      <c r="E79">
        <v>32</v>
      </c>
      <c r="F79" t="s">
        <v>33</v>
      </c>
      <c r="G79" t="s">
        <v>34</v>
      </c>
      <c r="H79">
        <v>6.3093700408900002</v>
      </c>
      <c r="I79" t="s">
        <v>16</v>
      </c>
      <c r="J79" t="s">
        <v>184</v>
      </c>
    </row>
    <row r="80" spans="1:10" x14ac:dyDescent="0.45">
      <c r="A80" t="s">
        <v>185</v>
      </c>
      <c r="B80" t="s">
        <v>11</v>
      </c>
      <c r="C80" t="s">
        <v>12</v>
      </c>
      <c r="D80" t="s">
        <v>13</v>
      </c>
      <c r="E80">
        <v>29</v>
      </c>
      <c r="F80" t="s">
        <v>27</v>
      </c>
      <c r="G80" t="s">
        <v>28</v>
      </c>
      <c r="H80">
        <v>6.5</v>
      </c>
      <c r="I80" t="s">
        <v>16</v>
      </c>
      <c r="J80" t="s">
        <v>186</v>
      </c>
    </row>
    <row r="81" spans="1:10" x14ac:dyDescent="0.45">
      <c r="A81" t="s">
        <v>187</v>
      </c>
      <c r="B81" t="s">
        <v>11</v>
      </c>
      <c r="C81" t="s">
        <v>12</v>
      </c>
      <c r="D81" t="s">
        <v>13</v>
      </c>
      <c r="E81">
        <v>40</v>
      </c>
      <c r="F81" t="s">
        <v>33</v>
      </c>
      <c r="G81" t="s">
        <v>34</v>
      </c>
      <c r="H81">
        <v>5</v>
      </c>
      <c r="I81" t="s">
        <v>16</v>
      </c>
      <c r="J81" t="s">
        <v>188</v>
      </c>
    </row>
    <row r="82" spans="1:10" x14ac:dyDescent="0.45">
      <c r="A82" t="s">
        <v>189</v>
      </c>
      <c r="B82" t="s">
        <v>11</v>
      </c>
      <c r="C82" t="s">
        <v>12</v>
      </c>
      <c r="D82" t="s">
        <v>13</v>
      </c>
      <c r="E82">
        <v>73</v>
      </c>
      <c r="F82" t="s">
        <v>66</v>
      </c>
      <c r="G82" t="s">
        <v>67</v>
      </c>
      <c r="H82">
        <v>3.5534200668300002</v>
      </c>
      <c r="I82" t="s">
        <v>16</v>
      </c>
      <c r="J82" t="s">
        <v>190</v>
      </c>
    </row>
    <row r="83" spans="1:10" x14ac:dyDescent="0.45">
      <c r="A83" t="s">
        <v>262</v>
      </c>
      <c r="B83" t="s">
        <v>11</v>
      </c>
      <c r="C83" t="s">
        <v>12</v>
      </c>
      <c r="D83" t="s">
        <v>13</v>
      </c>
      <c r="E83">
        <v>10</v>
      </c>
      <c r="F83" t="s">
        <v>66</v>
      </c>
      <c r="G83" t="s">
        <v>67</v>
      </c>
      <c r="H83">
        <v>3.2999999523199999</v>
      </c>
      <c r="I83" t="s">
        <v>16</v>
      </c>
      <c r="J83" t="s">
        <v>263</v>
      </c>
    </row>
    <row r="84" spans="1:10" x14ac:dyDescent="0.45">
      <c r="A84" t="s">
        <v>191</v>
      </c>
      <c r="B84" t="s">
        <v>11</v>
      </c>
      <c r="C84" t="s">
        <v>12</v>
      </c>
      <c r="D84" t="s">
        <v>13</v>
      </c>
      <c r="E84">
        <v>20</v>
      </c>
      <c r="F84" t="s">
        <v>155</v>
      </c>
      <c r="G84" t="s">
        <v>156</v>
      </c>
      <c r="H84">
        <v>9.6999998092699986</v>
      </c>
      <c r="I84" t="s">
        <v>16</v>
      </c>
      <c r="J84" t="s">
        <v>192</v>
      </c>
    </row>
    <row r="85" spans="1:10" x14ac:dyDescent="0.45">
      <c r="A85" t="s">
        <v>193</v>
      </c>
      <c r="B85" t="s">
        <v>11</v>
      </c>
      <c r="C85" t="s">
        <v>12</v>
      </c>
      <c r="D85" t="s">
        <v>13</v>
      </c>
      <c r="E85">
        <v>5</v>
      </c>
      <c r="F85" t="s">
        <v>33</v>
      </c>
      <c r="G85" t="s">
        <v>34</v>
      </c>
      <c r="H85">
        <v>15.5</v>
      </c>
      <c r="I85" t="s">
        <v>16</v>
      </c>
      <c r="J85" t="s">
        <v>194</v>
      </c>
    </row>
    <row r="86" spans="1:10" x14ac:dyDescent="0.45">
      <c r="A86" t="s">
        <v>264</v>
      </c>
      <c r="B86" t="s">
        <v>11</v>
      </c>
      <c r="C86" t="s">
        <v>12</v>
      </c>
      <c r="D86" t="s">
        <v>53</v>
      </c>
      <c r="E86">
        <v>500</v>
      </c>
      <c r="F86" t="s">
        <v>33</v>
      </c>
      <c r="G86" t="s">
        <v>34</v>
      </c>
      <c r="H86">
        <v>81.265899658199999</v>
      </c>
      <c r="I86" t="s">
        <v>16</v>
      </c>
      <c r="J86" t="s">
        <v>265</v>
      </c>
    </row>
    <row r="87" spans="1:10" x14ac:dyDescent="0.45">
      <c r="A87" t="s">
        <v>195</v>
      </c>
      <c r="B87" t="s">
        <v>11</v>
      </c>
      <c r="C87" t="s">
        <v>12</v>
      </c>
      <c r="D87" t="s">
        <v>13</v>
      </c>
      <c r="E87">
        <v>26</v>
      </c>
      <c r="F87" t="s">
        <v>33</v>
      </c>
      <c r="G87" t="s">
        <v>34</v>
      </c>
      <c r="H87">
        <v>12.950000286099998</v>
      </c>
      <c r="I87" t="s">
        <v>16</v>
      </c>
      <c r="J87" t="s">
        <v>196</v>
      </c>
    </row>
    <row r="88" spans="1:10" x14ac:dyDescent="0.45">
      <c r="A88" t="s">
        <v>197</v>
      </c>
      <c r="B88" t="s">
        <v>11</v>
      </c>
      <c r="C88" t="s">
        <v>12</v>
      </c>
      <c r="D88" t="s">
        <v>13</v>
      </c>
      <c r="E88">
        <v>10</v>
      </c>
      <c r="F88" t="s">
        <v>27</v>
      </c>
      <c r="G88" t="s">
        <v>28</v>
      </c>
      <c r="H88">
        <v>9.3000001907300014</v>
      </c>
      <c r="I88" t="s">
        <v>16</v>
      </c>
      <c r="J88" t="s">
        <v>198</v>
      </c>
    </row>
    <row r="89" spans="1:10" x14ac:dyDescent="0.45">
      <c r="A89" t="s">
        <v>199</v>
      </c>
      <c r="B89" t="s">
        <v>11</v>
      </c>
      <c r="C89" t="s">
        <v>12</v>
      </c>
      <c r="D89" t="s">
        <v>13</v>
      </c>
      <c r="E89">
        <v>20</v>
      </c>
      <c r="F89" t="s">
        <v>27</v>
      </c>
      <c r="G89" t="s">
        <v>28</v>
      </c>
      <c r="H89">
        <v>10.5499997139</v>
      </c>
      <c r="I89" t="s">
        <v>16</v>
      </c>
      <c r="J89" t="s">
        <v>200</v>
      </c>
    </row>
    <row r="90" spans="1:10" x14ac:dyDescent="0.45">
      <c r="A90" t="s">
        <v>266</v>
      </c>
      <c r="B90" t="s">
        <v>51</v>
      </c>
      <c r="C90" t="s">
        <v>52</v>
      </c>
      <c r="D90" t="s">
        <v>13</v>
      </c>
      <c r="E90">
        <v>-100</v>
      </c>
      <c r="F90" t="s">
        <v>164</v>
      </c>
      <c r="G90" t="s">
        <v>165</v>
      </c>
      <c r="H90">
        <v>0.33000001311299998</v>
      </c>
      <c r="I90" t="s">
        <v>101</v>
      </c>
      <c r="J90" t="s">
        <v>267</v>
      </c>
    </row>
    <row r="91" spans="1:10" x14ac:dyDescent="0.45">
      <c r="A91" t="s">
        <v>268</v>
      </c>
      <c r="B91" t="s">
        <v>51</v>
      </c>
      <c r="C91" t="s">
        <v>52</v>
      </c>
      <c r="D91" t="s">
        <v>13</v>
      </c>
      <c r="E91">
        <v>-250</v>
      </c>
      <c r="F91" t="s">
        <v>164</v>
      </c>
      <c r="G91" t="s">
        <v>165</v>
      </c>
      <c r="H91">
        <v>0.37931999564199997</v>
      </c>
      <c r="I91" t="s">
        <v>101</v>
      </c>
      <c r="J91" t="s">
        <v>269</v>
      </c>
    </row>
    <row r="92" spans="1:10" x14ac:dyDescent="0.45">
      <c r="A92" t="s">
        <v>270</v>
      </c>
      <c r="B92" t="s">
        <v>51</v>
      </c>
      <c r="C92" t="s">
        <v>52</v>
      </c>
      <c r="D92" t="s">
        <v>13</v>
      </c>
      <c r="E92">
        <v>-350</v>
      </c>
      <c r="F92" t="s">
        <v>164</v>
      </c>
      <c r="G92" t="s">
        <v>165</v>
      </c>
      <c r="H92">
        <v>1.5685700178100002</v>
      </c>
      <c r="I92" t="s">
        <v>101</v>
      </c>
      <c r="J92" t="s">
        <v>271</v>
      </c>
    </row>
    <row r="93" spans="1:10" x14ac:dyDescent="0.45">
      <c r="A93" t="s">
        <v>201</v>
      </c>
      <c r="B93" t="s">
        <v>11</v>
      </c>
      <c r="C93" t="s">
        <v>12</v>
      </c>
      <c r="D93" t="s">
        <v>13</v>
      </c>
      <c r="E93">
        <v>40</v>
      </c>
      <c r="F93" t="s">
        <v>14</v>
      </c>
      <c r="G93" t="s">
        <v>15</v>
      </c>
      <c r="H93">
        <v>4.9499998092699995</v>
      </c>
      <c r="I93" t="s">
        <v>16</v>
      </c>
      <c r="J93" t="s">
        <v>202</v>
      </c>
    </row>
    <row r="94" spans="1:10" x14ac:dyDescent="0.45">
      <c r="A94" t="s">
        <v>203</v>
      </c>
      <c r="B94" t="s">
        <v>11</v>
      </c>
      <c r="C94" t="s">
        <v>12</v>
      </c>
      <c r="D94" t="s">
        <v>13</v>
      </c>
      <c r="E94">
        <v>30</v>
      </c>
      <c r="F94" t="s">
        <v>155</v>
      </c>
      <c r="G94" t="s">
        <v>156</v>
      </c>
      <c r="H94">
        <v>6.3166699409500007</v>
      </c>
      <c r="I94" t="s">
        <v>16</v>
      </c>
      <c r="J94" t="s">
        <v>204</v>
      </c>
    </row>
    <row r="95" spans="1:10" x14ac:dyDescent="0.45">
      <c r="A95" t="s">
        <v>205</v>
      </c>
      <c r="B95" t="s">
        <v>11</v>
      </c>
      <c r="C95" t="s">
        <v>12</v>
      </c>
      <c r="D95" t="s">
        <v>13</v>
      </c>
      <c r="E95">
        <v>3</v>
      </c>
      <c r="F95" t="s">
        <v>155</v>
      </c>
      <c r="G95" t="s">
        <v>156</v>
      </c>
      <c r="H95">
        <v>6.5500001907300005</v>
      </c>
      <c r="I95" t="s">
        <v>16</v>
      </c>
      <c r="J95" t="s">
        <v>206</v>
      </c>
    </row>
    <row r="96" spans="1:10" x14ac:dyDescent="0.45">
      <c r="A96" t="s">
        <v>207</v>
      </c>
      <c r="B96" t="s">
        <v>11</v>
      </c>
      <c r="C96" t="s">
        <v>12</v>
      </c>
      <c r="D96" t="s">
        <v>13</v>
      </c>
      <c r="E96">
        <v>22</v>
      </c>
      <c r="F96" t="s">
        <v>37</v>
      </c>
      <c r="G96" t="s">
        <v>38</v>
      </c>
      <c r="H96">
        <v>6.8499999046300006</v>
      </c>
      <c r="I96" t="s">
        <v>16</v>
      </c>
      <c r="J96" t="s">
        <v>208</v>
      </c>
    </row>
    <row r="97" spans="1:10" x14ac:dyDescent="0.45">
      <c r="A97" t="s">
        <v>209</v>
      </c>
      <c r="B97" t="s">
        <v>11</v>
      </c>
      <c r="C97" t="s">
        <v>12</v>
      </c>
      <c r="D97" t="s">
        <v>13</v>
      </c>
      <c r="E97">
        <v>56</v>
      </c>
      <c r="F97" t="s">
        <v>21</v>
      </c>
      <c r="G97" t="s">
        <v>22</v>
      </c>
      <c r="H97">
        <v>2.1701100468600001</v>
      </c>
      <c r="I97" t="s">
        <v>16</v>
      </c>
      <c r="J97" t="s">
        <v>210</v>
      </c>
    </row>
    <row r="98" spans="1:10" x14ac:dyDescent="0.45">
      <c r="A98" t="s">
        <v>272</v>
      </c>
      <c r="B98" t="s">
        <v>51</v>
      </c>
      <c r="C98" t="s">
        <v>52</v>
      </c>
      <c r="D98" t="s">
        <v>13</v>
      </c>
      <c r="E98">
        <v>100</v>
      </c>
      <c r="F98" t="s">
        <v>211</v>
      </c>
      <c r="G98" t="s">
        <v>212</v>
      </c>
      <c r="H98">
        <v>0.75999999046299993</v>
      </c>
      <c r="I98" t="s">
        <v>101</v>
      </c>
      <c r="J98" t="s">
        <v>273</v>
      </c>
    </row>
    <row r="99" spans="1:10" x14ac:dyDescent="0.45">
      <c r="A99" t="s">
        <v>213</v>
      </c>
      <c r="B99" t="s">
        <v>51</v>
      </c>
      <c r="C99" t="s">
        <v>52</v>
      </c>
      <c r="D99" t="s">
        <v>13</v>
      </c>
      <c r="E99">
        <v>100</v>
      </c>
      <c r="F99" t="s">
        <v>211</v>
      </c>
      <c r="G99" t="s">
        <v>212</v>
      </c>
      <c r="H99">
        <v>1.4199999570800002</v>
      </c>
      <c r="I99" t="s">
        <v>101</v>
      </c>
      <c r="J99" t="s">
        <v>214</v>
      </c>
    </row>
    <row r="100" spans="1:10" x14ac:dyDescent="0.45">
      <c r="A100" t="s">
        <v>215</v>
      </c>
      <c r="B100" t="s">
        <v>51</v>
      </c>
      <c r="C100" t="s">
        <v>52</v>
      </c>
      <c r="D100" t="s">
        <v>13</v>
      </c>
      <c r="E100">
        <v>100</v>
      </c>
      <c r="F100" t="s">
        <v>211</v>
      </c>
      <c r="G100" t="s">
        <v>212</v>
      </c>
      <c r="H100">
        <v>2.0150001048999999</v>
      </c>
      <c r="I100" t="s">
        <v>101</v>
      </c>
      <c r="J100" t="s">
        <v>216</v>
      </c>
    </row>
    <row r="101" spans="1:10" x14ac:dyDescent="0.45">
      <c r="A101" t="s">
        <v>217</v>
      </c>
      <c r="B101" t="s">
        <v>51</v>
      </c>
      <c r="C101" t="s">
        <v>52</v>
      </c>
      <c r="D101" t="s">
        <v>13</v>
      </c>
      <c r="E101">
        <v>100</v>
      </c>
      <c r="F101" t="s">
        <v>211</v>
      </c>
      <c r="G101" t="s">
        <v>212</v>
      </c>
      <c r="H101">
        <v>1.9850000143099999</v>
      </c>
      <c r="I101" t="s">
        <v>101</v>
      </c>
      <c r="J101" t="s">
        <v>218</v>
      </c>
    </row>
    <row r="102" spans="1:10" x14ac:dyDescent="0.45">
      <c r="A102" t="s">
        <v>219</v>
      </c>
      <c r="B102" t="s">
        <v>51</v>
      </c>
      <c r="C102" t="s">
        <v>52</v>
      </c>
      <c r="D102" t="s">
        <v>13</v>
      </c>
      <c r="E102">
        <v>-50</v>
      </c>
      <c r="F102" t="s">
        <v>211</v>
      </c>
      <c r="G102" t="s">
        <v>212</v>
      </c>
      <c r="H102">
        <v>1.2065600156799998</v>
      </c>
      <c r="I102" t="s">
        <v>101</v>
      </c>
      <c r="J102" t="s">
        <v>220</v>
      </c>
    </row>
    <row r="103" spans="1:10" x14ac:dyDescent="0.45">
      <c r="A103" t="s">
        <v>221</v>
      </c>
      <c r="B103" t="s">
        <v>51</v>
      </c>
      <c r="C103" t="s">
        <v>52</v>
      </c>
      <c r="D103" t="s">
        <v>13</v>
      </c>
      <c r="E103">
        <v>-125</v>
      </c>
      <c r="F103" t="s">
        <v>211</v>
      </c>
      <c r="G103" t="s">
        <v>212</v>
      </c>
      <c r="H103">
        <v>1.8445600271200002</v>
      </c>
      <c r="I103" t="s">
        <v>101</v>
      </c>
      <c r="J103" t="s">
        <v>222</v>
      </c>
    </row>
    <row r="104" spans="1:10" x14ac:dyDescent="0.45">
      <c r="A104" t="s">
        <v>223</v>
      </c>
      <c r="B104" t="s">
        <v>51</v>
      </c>
      <c r="C104" t="s">
        <v>52</v>
      </c>
      <c r="D104" t="s">
        <v>13</v>
      </c>
      <c r="E104">
        <v>-125</v>
      </c>
      <c r="F104" t="s">
        <v>211</v>
      </c>
      <c r="G104" t="s">
        <v>212</v>
      </c>
      <c r="H104">
        <v>1.5932799577700001</v>
      </c>
      <c r="I104" t="s">
        <v>101</v>
      </c>
      <c r="J104" t="s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ControlPanel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Grace Valentina Montesano</dc:creator>
  <cp:lastModifiedBy>Grace Montesano</cp:lastModifiedBy>
  <dcterms:created xsi:type="dcterms:W3CDTF">2015-11-25T15:33:50Z</dcterms:created>
  <dcterms:modified xsi:type="dcterms:W3CDTF">2019-03-19T18:25:08Z</dcterms:modified>
</cp:coreProperties>
</file>